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filterPrivacy="1" codeName="ThisWorkbook" defaultThemeVersion="124226"/>
  <bookViews>
    <workbookView xWindow="285" yWindow="90" windowWidth="15480" windowHeight="8775"/>
  </bookViews>
  <sheets>
    <sheet name="Page 63" sheetId="46" r:id="rId1"/>
    <sheet name="Page 64" sheetId="73" r:id="rId2"/>
    <sheet name="Page 67" sheetId="47" r:id="rId3"/>
    <sheet name="Page 70" sheetId="74" r:id="rId4"/>
    <sheet name="Page 70 bottom" sheetId="48" r:id="rId5"/>
    <sheet name="Page 75" sheetId="51" r:id="rId6"/>
    <sheet name="Page 76" sheetId="52" r:id="rId7"/>
    <sheet name="Brian1" sheetId="53" r:id="rId8"/>
    <sheet name="Page 80" sheetId="55" r:id="rId9"/>
    <sheet name="Brian2" sheetId="77" r:id="rId10"/>
    <sheet name="Page 85" sheetId="72" r:id="rId11"/>
    <sheet name="Page 87" sheetId="59" r:id="rId12"/>
    <sheet name="Page 92" sheetId="61" r:id="rId13"/>
    <sheet name="Page 92 bottom" sheetId="62" r:id="rId14"/>
    <sheet name="Page 94" sheetId="63" r:id="rId15"/>
    <sheet name="Page 95" sheetId="64" r:id="rId16"/>
  </sheets>
  <functionGroups builtInGroupCount="18"/>
  <calcPr calcId="162913" iterate="1"/>
</workbook>
</file>

<file path=xl/calcChain.xml><?xml version="1.0" encoding="utf-8"?>
<calcChain xmlns="http://schemas.openxmlformats.org/spreadsheetml/2006/main">
  <c r="K6" i="77" l="1"/>
  <c r="K13" i="77" s="1"/>
  <c r="K7" i="77"/>
  <c r="K8" i="77"/>
  <c r="K9" i="77"/>
  <c r="K10" i="77"/>
  <c r="K5" i="77"/>
  <c r="F12" i="77"/>
  <c r="F13" i="77"/>
  <c r="J6" i="77"/>
  <c r="J7" i="77"/>
  <c r="J8" i="77"/>
  <c r="J9" i="77"/>
  <c r="J10" i="77"/>
  <c r="J13" i="77" s="1"/>
  <c r="J5" i="77"/>
  <c r="E12" i="77"/>
  <c r="E13" i="77"/>
  <c r="I13" i="77"/>
  <c r="H13" i="77"/>
  <c r="I6" i="77"/>
  <c r="I7" i="77"/>
  <c r="I8" i="77"/>
  <c r="I9" i="77"/>
  <c r="I10" i="77"/>
  <c r="I5" i="77"/>
  <c r="D12" i="77"/>
  <c r="D13" i="77"/>
  <c r="C13" i="77"/>
  <c r="B13" i="77"/>
  <c r="C12" i="77"/>
  <c r="B12" i="77"/>
  <c r="H10" i="77"/>
  <c r="H9" i="77"/>
  <c r="H8" i="77"/>
  <c r="H7" i="77"/>
  <c r="H6" i="77"/>
  <c r="H5" i="77"/>
  <c r="F6" i="55"/>
  <c r="F7" i="55"/>
  <c r="F8" i="55"/>
  <c r="F9" i="55"/>
  <c r="F12" i="55" s="1"/>
  <c r="F10" i="55"/>
  <c r="F5" i="55"/>
  <c r="D20" i="55"/>
  <c r="D21" i="55"/>
  <c r="D22" i="55"/>
  <c r="D23" i="55"/>
  <c r="D24" i="55"/>
  <c r="D25" i="55"/>
  <c r="D26" i="55"/>
  <c r="D27" i="55"/>
  <c r="D28" i="55"/>
  <c r="D29" i="55"/>
  <c r="D30" i="55"/>
  <c r="D31" i="55"/>
  <c r="D32" i="55"/>
  <c r="D33" i="55"/>
  <c r="D34" i="55"/>
  <c r="D19" i="55"/>
  <c r="F6" i="53"/>
  <c r="F7" i="53"/>
  <c r="F8" i="53"/>
  <c r="F9" i="53"/>
  <c r="F10" i="53"/>
  <c r="F5" i="53"/>
  <c r="C14" i="51"/>
  <c r="B14" i="51"/>
  <c r="D14" i="51"/>
  <c r="F13" i="53" l="1"/>
  <c r="B9" i="74" l="1"/>
  <c r="B11" i="74" s="1"/>
  <c r="B19" i="73"/>
  <c r="B20" i="73"/>
  <c r="B21" i="73"/>
  <c r="B22" i="73"/>
  <c r="B23" i="73"/>
  <c r="B24" i="73"/>
  <c r="B25" i="73"/>
  <c r="B26" i="73"/>
  <c r="B27" i="73"/>
  <c r="B28" i="73"/>
  <c r="B29" i="73"/>
  <c r="B30" i="73"/>
  <c r="B31" i="73"/>
  <c r="B32" i="73"/>
  <c r="B33" i="73"/>
  <c r="B18" i="73"/>
  <c r="C11" i="74"/>
  <c r="C9" i="74"/>
  <c r="C19" i="73"/>
  <c r="C18" i="73"/>
  <c r="B17" i="73" l="1"/>
  <c r="C14" i="73"/>
  <c r="C10" i="73"/>
  <c r="C9" i="73"/>
  <c r="C8" i="73"/>
  <c r="C7" i="73"/>
  <c r="C6" i="73"/>
  <c r="C5" i="73"/>
  <c r="D6" i="73"/>
  <c r="D13" i="73"/>
  <c r="D5" i="73"/>
  <c r="D14" i="73"/>
  <c r="C17" i="73"/>
  <c r="C13" i="73" l="1"/>
  <c r="G13" i="72"/>
  <c r="F40" i="72"/>
  <c r="F13" i="72"/>
  <c r="B40" i="72"/>
  <c r="G12" i="72"/>
  <c r="F12" i="72"/>
  <c r="D12" i="72"/>
  <c r="C12" i="72"/>
  <c r="B12" i="72"/>
  <c r="E5" i="72"/>
  <c r="E13" i="72" s="1"/>
  <c r="C18" i="72"/>
  <c r="B18" i="72" l="1"/>
  <c r="E12" i="72"/>
  <c r="B19" i="64" l="1"/>
  <c r="B21" i="64" s="1"/>
  <c r="B12" i="64"/>
  <c r="B11" i="64"/>
  <c r="B3" i="64"/>
  <c r="B7" i="63"/>
  <c r="C6" i="63"/>
  <c r="C8" i="62"/>
  <c r="C7" i="62"/>
  <c r="B7" i="62"/>
  <c r="C7" i="61"/>
  <c r="B7" i="61"/>
  <c r="D13" i="62"/>
  <c r="C22" i="64"/>
  <c r="C13" i="64"/>
  <c r="C24" i="64"/>
  <c r="C12" i="64"/>
  <c r="D14" i="63"/>
  <c r="C14" i="64"/>
  <c r="C23" i="64"/>
  <c r="A16" i="63"/>
  <c r="C3" i="64"/>
  <c r="D8" i="62"/>
  <c r="D13" i="63"/>
  <c r="D13" i="61"/>
  <c r="C13" i="62" l="1"/>
  <c r="B22" i="64"/>
  <c r="B23" i="64"/>
  <c r="B24" i="64" s="1"/>
  <c r="B8" i="61"/>
  <c r="B9" i="61" s="1"/>
  <c r="B10" i="61" s="1"/>
  <c r="B11" i="61" s="1"/>
  <c r="C8" i="61"/>
  <c r="C13" i="61" s="1"/>
  <c r="C7" i="63"/>
  <c r="C8" i="63" s="1"/>
  <c r="B8" i="62"/>
  <c r="B9" i="62" s="1"/>
  <c r="B10" i="62" s="1"/>
  <c r="B11" i="62" s="1"/>
  <c r="B8" i="63"/>
  <c r="B9" i="63" s="1"/>
  <c r="B10" i="63" s="1"/>
  <c r="B11" i="63" s="1"/>
  <c r="B13" i="64"/>
  <c r="B14" i="64" s="1"/>
  <c r="B13" i="62" l="1"/>
  <c r="C13" i="63"/>
  <c r="C14" i="63" s="1"/>
  <c r="B13" i="61"/>
  <c r="B13" i="63"/>
  <c r="B14" i="63" s="1"/>
  <c r="B17" i="59" l="1"/>
  <c r="B18" i="59"/>
  <c r="B19" i="59"/>
  <c r="B20" i="59"/>
  <c r="B21" i="59"/>
  <c r="B22" i="59"/>
  <c r="B23" i="59"/>
  <c r="B24" i="59"/>
  <c r="B25" i="59"/>
  <c r="B26" i="59"/>
  <c r="B27" i="59"/>
  <c r="B28" i="59"/>
  <c r="B29" i="59"/>
  <c r="B30" i="59"/>
  <c r="B31" i="59"/>
  <c r="B32" i="59"/>
  <c r="B33" i="59"/>
  <c r="B34" i="59"/>
  <c r="B16" i="59"/>
  <c r="B11" i="59"/>
  <c r="B12" i="59"/>
  <c r="C13" i="55"/>
  <c r="B13" i="55"/>
  <c r="C12" i="55"/>
  <c r="C18" i="55" s="1"/>
  <c r="B12" i="55"/>
  <c r="B18" i="55" s="1"/>
  <c r="C13" i="53"/>
  <c r="C12" i="53"/>
  <c r="B13" i="53"/>
  <c r="B12" i="53"/>
  <c r="C12" i="52"/>
  <c r="B12" i="52"/>
  <c r="C12" i="51"/>
  <c r="B12" i="51"/>
  <c r="C18" i="59"/>
  <c r="D13" i="55"/>
  <c r="C17" i="59"/>
  <c r="D13" i="53"/>
  <c r="D12" i="52"/>
  <c r="C12" i="59"/>
  <c r="C16" i="59"/>
  <c r="D12" i="53"/>
  <c r="C11" i="59"/>
  <c r="D12" i="51"/>
  <c r="C19" i="59"/>
  <c r="D12" i="55"/>
  <c r="C9" i="48" l="1"/>
  <c r="B9" i="48"/>
  <c r="B16" i="47"/>
  <c r="B17" i="47"/>
  <c r="B18" i="47"/>
  <c r="B19" i="47"/>
  <c r="B20" i="47"/>
  <c r="B21" i="47"/>
  <c r="B22" i="47"/>
  <c r="B23" i="47"/>
  <c r="B24" i="47"/>
  <c r="B25" i="47"/>
  <c r="B26" i="47"/>
  <c r="B27" i="47"/>
  <c r="B28" i="47"/>
  <c r="B29" i="47"/>
  <c r="B30" i="47"/>
  <c r="B31" i="47"/>
  <c r="B15" i="47"/>
  <c r="B10" i="47"/>
  <c r="B12" i="47" s="1"/>
  <c r="C14" i="46"/>
  <c r="D9" i="48"/>
  <c r="C15" i="47"/>
  <c r="D14" i="46"/>
  <c r="C10" i="47"/>
  <c r="C16" i="47"/>
  <c r="D13" i="46"/>
  <c r="C12" i="47"/>
  <c r="C6" i="46" l="1"/>
  <c r="C7" i="46"/>
  <c r="C8" i="46"/>
  <c r="C9" i="46"/>
  <c r="C10" i="46"/>
  <c r="C5" i="46"/>
  <c r="D6" i="46"/>
  <c r="D5" i="46"/>
  <c r="C13" i="46" l="1"/>
</calcChain>
</file>

<file path=xl/sharedStrings.xml><?xml version="1.0" encoding="utf-8"?>
<sst xmlns="http://schemas.openxmlformats.org/spreadsheetml/2006/main" count="188" uniqueCount="110">
  <si>
    <t>NPV</t>
  </si>
  <si>
    <t>IRR</t>
  </si>
  <si>
    <t>Year</t>
  </si>
  <si>
    <t>Discount rate, r</t>
  </si>
  <si>
    <t>CALCULATING THE NET PRESENT VALUE (NPV) WITH EXCEL</t>
  </si>
  <si>
    <t>Interest rate, r</t>
  </si>
  <si>
    <t>Payment</t>
  </si>
  <si>
    <t>Summing the present values</t>
  </si>
  <si>
    <t>CALCULATING THE IRR WITH EXCEL</t>
  </si>
  <si>
    <t>Check:  The NPV using IRR as discount rate</t>
  </si>
  <si>
    <t>Discount rate</t>
  </si>
  <si>
    <t>USING IRR TO CHOOSE BETWEEN INVESTMENTS</t>
  </si>
  <si>
    <t>Investment A cash flows</t>
  </si>
  <si>
    <t>Investment B cash flows</t>
  </si>
  <si>
    <t>TWO PROJECTS</t>
  </si>
  <si>
    <t>Project A</t>
  </si>
  <si>
    <t>Project B</t>
  </si>
  <si>
    <t>RANKING PROJECTS WITH NPV AND IRR</t>
  </si>
  <si>
    <t>Data table:  NPV and discount rates</t>
  </si>
  <si>
    <t>Project A NPV</t>
  </si>
  <si>
    <t>Project B NPV</t>
  </si>
  <si>
    <t>SANITARY LANDFILL, INC.</t>
  </si>
  <si>
    <t>Cash flow</t>
  </si>
  <si>
    <t>First IRR</t>
  </si>
  <si>
    <t>Second IRR</t>
  </si>
  <si>
    <t>DIFFERENT LIFE SPANS</t>
  </si>
  <si>
    <t>Truck A</t>
  </si>
  <si>
    <t>Truck B</t>
  </si>
  <si>
    <t>DIFFERENT LIFE SPANS
at end of year 3, truck B is replaced</t>
  </si>
  <si>
    <t>Cash flow (A)</t>
  </si>
  <si>
    <t>Cash flow (B)</t>
  </si>
  <si>
    <t>DIFFERENT LIFE SPANS
Computing the equivalent annuity cash flow (EAC)</t>
  </si>
  <si>
    <t>EAC--Equivalent
annuity cash flow</t>
  </si>
  <si>
    <t>Annual discount rate</t>
  </si>
  <si>
    <t>Monthly discount rate</t>
  </si>
  <si>
    <t>Electric cost per kilowatt
(a kilowatt = 1000 watts)</t>
  </si>
  <si>
    <t>Incandescent bulb</t>
  </si>
  <si>
    <t xml:space="preserve">     Watts</t>
  </si>
  <si>
    <t xml:space="preserve">     Cost</t>
  </si>
  <si>
    <t xml:space="preserve">     Hours per month used</t>
  </si>
  <si>
    <t xml:space="preserve">     Lifetime of bulb (hours)</t>
  </si>
  <si>
    <t xml:space="preserve">     Lifetime in months</t>
  </si>
  <si>
    <t xml:space="preserve">     Monthly cost</t>
  </si>
  <si>
    <t>NPV of lifetime use</t>
  </si>
  <si>
    <t>Monthly equivalent annuity cash flow (EAC) for cheap incandescent</t>
  </si>
  <si>
    <t>Present value</t>
  </si>
  <si>
    <t>CONVENTIONAL AND NON-CONVENTIONAL CASH FLOW PATTERNS</t>
  </si>
  <si>
    <t>Cash flow
project A</t>
  </si>
  <si>
    <t>Cash flow
project B</t>
  </si>
  <si>
    <t>Cash flow
project C</t>
  </si>
  <si>
    <t>Cash flow
project D</t>
  </si>
  <si>
    <t>Cash flow
project E</t>
  </si>
  <si>
    <t>Cash flow
project F</t>
  </si>
  <si>
    <t>Initial negative cash flow followed by positive cash flows</t>
  </si>
  <si>
    <t>Two initial negative cash flows followed by positive cash flows</t>
  </si>
  <si>
    <t>Initial positive cash flows followed by negative cash flows</t>
  </si>
  <si>
    <r>
      <rPr>
        <sz val="10"/>
        <rFont val="Symbol"/>
        <family val="1"/>
        <charset val="2"/>
      </rPr>
      <t xml:space="preserve"> ­</t>
    </r>
    <r>
      <rPr>
        <sz val="10"/>
        <rFont val="Arial"/>
        <family val="2"/>
      </rPr>
      <t xml:space="preserve">
Conventional cash flow pattern</t>
    </r>
  </si>
  <si>
    <r>
      <rPr>
        <sz val="10"/>
        <rFont val="Symbol"/>
        <family val="1"/>
        <charset val="2"/>
      </rPr>
      <t>­</t>
    </r>
    <r>
      <rPr>
        <sz val="10"/>
        <rFont val="Arial"/>
        <family val="2"/>
      </rPr>
      <t xml:space="preserve">
Conventional cash flow pattern</t>
    </r>
  </si>
  <si>
    <r>
      <rPr>
        <sz val="10"/>
        <rFont val="Symbol"/>
        <family val="1"/>
        <charset val="2"/>
      </rPr>
      <t xml:space="preserve"> ­</t>
    </r>
    <r>
      <rPr>
        <sz val="10"/>
        <rFont val="Arial"/>
        <family val="2"/>
      </rPr>
      <t xml:space="preserve">
Non-conventional cash flow pattern</t>
    </r>
  </si>
  <si>
    <t>Two positive cash flows, then negative, then three positive cash flows</t>
  </si>
  <si>
    <t>Negative cash flows at beginning and end, other cash flows positive</t>
  </si>
  <si>
    <t>Initial negative cash flow, then positive, then negative, positive, negative cash flows</t>
  </si>
  <si>
    <t>Datat table, project D</t>
  </si>
  <si>
    <t>Data table, project E</t>
  </si>
  <si>
    <t>Data table, project F</t>
  </si>
  <si>
    <t>Data Table: NPV of cash flows</t>
  </si>
  <si>
    <r>
      <t xml:space="preserve">Using Excel's </t>
    </r>
    <r>
      <rPr>
        <b/>
        <sz val="10"/>
        <rFont val="Arial"/>
        <family val="2"/>
      </rPr>
      <t>NPV</t>
    </r>
    <r>
      <rPr>
        <sz val="10"/>
        <rFont val="Arial"/>
        <family val="2"/>
      </rPr>
      <t xml:space="preserve"> function</t>
    </r>
  </si>
  <si>
    <t>Note: the point where the curve crosses the x-axis and NPV=0 is called IRR (internal rate of return)</t>
  </si>
  <si>
    <t>Note: This is only OK if they are independent investments. AND you compare the IRR to the cost of capital (the cost at which your company can get funds from the market).</t>
  </si>
  <si>
    <t xml:space="preserve">If only one project exceeds the cost of capital then do only that one. If both exceed the cost of capital then do them both. </t>
  </si>
  <si>
    <t>For example if cost of capital = 10%, then you would do both A and B.</t>
  </si>
  <si>
    <t>NOTE: if these are independent projects then Do them Both.</t>
  </si>
  <si>
    <t>If these are mutually exclusive (you can only use one laptop at a time for instance, so you are choosing between Lenovo and Dell) then you can only Pick One.</t>
  </si>
  <si>
    <t>Projects are:</t>
  </si>
  <si>
    <t>Independent</t>
  </si>
  <si>
    <t>do it</t>
  </si>
  <si>
    <t>Mutually exclusive (NPV)</t>
  </si>
  <si>
    <t>Mutually exclusive (IRR)</t>
  </si>
  <si>
    <t>pick A</t>
  </si>
  <si>
    <t>pick B</t>
  </si>
  <si>
    <t xml:space="preserve">ME gives conflicting answers! </t>
  </si>
  <si>
    <t>Always trust NPV, it always gives the correct ranking of ME projects. IRR is tricky.</t>
  </si>
  <si>
    <t>We also see that IRR gives a different result than NPV.</t>
  </si>
  <si>
    <t>We need to deal with differential cash flows, by ranking from lowest first cost to most expensive.</t>
  </si>
  <si>
    <t>NOTE: We see that NPV for B exceeds A. Therefore pick B</t>
  </si>
  <si>
    <t>Then we find the IRR(B-A). If IRR(B-A) &gt; r then pick B. If IRR(B-A) &lt; r then keep A</t>
  </si>
  <si>
    <t>Cash Flow ( B - A )</t>
  </si>
  <si>
    <t>We pick B because IRR(B-A) &gt; r</t>
  </si>
  <si>
    <t xml:space="preserve"> </t>
  </si>
  <si>
    <t>NPV( B - A)</t>
  </si>
  <si>
    <t>Cash Flow (B-A)</t>
  </si>
  <si>
    <t xml:space="preserve">NOTE: Play around with the cash flows and see what happens to the graph. It is fun. </t>
  </si>
  <si>
    <t>LIGHT BULBS
Choosing between cheap incandescents and
expensive LEDs</t>
  </si>
  <si>
    <t>Equivalent LED</t>
  </si>
  <si>
    <t>Monthly equivalent annuity cash flow (EAC) for expensive LED</t>
  </si>
  <si>
    <t>Project C</t>
  </si>
  <si>
    <t>Keep A</t>
  </si>
  <si>
    <t>Cash Flow (C-A)</t>
  </si>
  <si>
    <t>Pick C</t>
  </si>
  <si>
    <t>Project D</t>
  </si>
  <si>
    <t>Cash Flow (D-C)</t>
  </si>
  <si>
    <t>Keep C</t>
  </si>
  <si>
    <t>RANKING MORE THAN TWO PROJECTS WITH NPV AND IRR</t>
  </si>
  <si>
    <t>Project E</t>
  </si>
  <si>
    <t>Pick E</t>
  </si>
  <si>
    <t>Cash Flow (E-C)</t>
  </si>
  <si>
    <t>But we have to show how it is done with IRR (sorry)</t>
  </si>
  <si>
    <t>We see NPV(E) is greatest</t>
  </si>
  <si>
    <t>Therefore E wins!</t>
  </si>
  <si>
    <t>E wins!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</si>
</sst>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8" formatCode="&quot;$&quot;#,##0.00_);[Red]\(&quot;$&quot;#,##0.00\)"/>
    <numFmt numFmtId="44" formatCode="_(&quot;$&quot;* #,##0.00_);_(&quot;$&quot;* \(#,##0.00\);_(&quot;$&quot;* &quot;-&quot;??_);_(@_)"/>
    <numFmt numFmtId="165" formatCode="0.000%"/>
    <numFmt numFmtId="166" formatCode="0.0000%"/>
  </numFmts>
  <fonts count="13" x14ac:knownFonts="1">
    <font>
      <sz val="10"/>
      <name val="Arial"/>
    </font>
    <font>
      <sz val="10"/>
      <name val="Arial"/>
      <family val="2"/>
    </font>
    <font>
      <b/>
      <sz val="10"/>
      <name val="Arial"/>
      <family val="2"/>
    </font>
    <font>
      <b/>
      <sz val="14"/>
      <name val="Arial"/>
      <family val="2"/>
    </font>
    <font>
      <sz val="10"/>
      <name val="Calibri"/>
      <family val="1"/>
      <scheme val="minor"/>
    </font>
    <font>
      <sz val="10"/>
      <name val="Arial"/>
      <family val="2"/>
    </font>
    <font>
      <sz val="11"/>
      <color theme="1"/>
      <name val="Agency FB"/>
      <family val="2"/>
    </font>
    <font>
      <sz val="11"/>
      <color rgb="FF3F3F76"/>
      <name val="Agency FB"/>
      <family val="2"/>
    </font>
    <font>
      <b/>
      <sz val="11"/>
      <color rgb="FFFA7D00"/>
      <name val="Agency FB"/>
      <family val="2"/>
    </font>
    <font>
      <sz val="10"/>
      <name val="Arial"/>
      <family val="2"/>
    </font>
    <font>
      <b/>
      <sz val="12"/>
      <name val="Arial"/>
      <family val="2"/>
    </font>
    <font>
      <sz val="10"/>
      <name val="Symbol"/>
      <family val="1"/>
      <charset val="2"/>
    </font>
    <font>
      <sz val="12"/>
      <name val="Arial"/>
      <family val="2"/>
    </font>
  </fonts>
  <fills count="11">
    <fill>
      <patternFill patternType="none"/>
    </fill>
    <fill>
      <patternFill patternType="gray125"/>
    </fill>
    <fill>
      <patternFill patternType="solid">
        <fgColor rgb="FFFFCC99"/>
      </patternFill>
    </fill>
    <fill>
      <patternFill patternType="solid">
        <fgColor rgb="FFF2F2F2"/>
      </patternFill>
    </fill>
    <fill>
      <patternFill patternType="solid">
        <fgColor theme="6" tint="0.79998168889431442"/>
        <bgColor theme="6" tint="0.79998168889431442"/>
      </patternFill>
    </fill>
    <fill>
      <patternFill patternType="solid">
        <fgColor rgb="FFFFFF00"/>
        <bgColor indexed="64"/>
      </patternFill>
    </fill>
    <fill>
      <patternFill patternType="solid">
        <fgColor theme="2"/>
        <bgColor indexed="64"/>
      </patternFill>
    </fill>
    <fill>
      <patternFill patternType="solid">
        <fgColor theme="3" tint="0.79998168889431442"/>
        <bgColor indexed="64"/>
      </patternFill>
    </fill>
    <fill>
      <patternFill patternType="solid">
        <fgColor indexed="13"/>
        <bgColor indexed="64"/>
      </patternFill>
    </fill>
    <fill>
      <patternFill patternType="solid">
        <fgColor rgb="FFFFC000"/>
        <bgColor indexed="64"/>
      </patternFill>
    </fill>
    <fill>
      <patternFill patternType="solid">
        <fgColor rgb="FF92D050"/>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13">
    <xf numFmtId="0" fontId="0" fillId="0" borderId="0"/>
    <xf numFmtId="44" fontId="1" fillId="0" borderId="0" applyFont="0" applyFill="0" applyBorder="0" applyAlignment="0" applyProtection="0"/>
    <xf numFmtId="0" fontId="4" fillId="0" borderId="0"/>
    <xf numFmtId="44" fontId="5" fillId="0" borderId="0" applyFont="0" applyFill="0" applyBorder="0" applyAlignment="0" applyProtection="0"/>
    <xf numFmtId="0" fontId="6" fillId="4" borderId="0" applyNumberFormat="0" applyBorder="0" applyAlignment="0" applyProtection="0"/>
    <xf numFmtId="0" fontId="7" fillId="2" borderId="1" applyNumberFormat="0" applyAlignment="0" applyProtection="0"/>
    <xf numFmtId="0" fontId="8" fillId="3" borderId="1" applyNumberFormat="0" applyAlignment="0" applyProtection="0"/>
    <xf numFmtId="9" fontId="9" fillId="0" borderId="0" applyFont="0" applyFill="0" applyBorder="0" applyAlignment="0" applyProtection="0"/>
    <xf numFmtId="0" fontId="1" fillId="0" borderId="0"/>
    <xf numFmtId="4" fontId="1" fillId="0" borderId="0" applyFont="0" applyFill="0" applyBorder="0" applyAlignment="0" applyProtection="0"/>
    <xf numFmtId="9" fontId="1" fillId="0" borderId="0" applyFont="0" applyFill="0" applyBorder="0" applyAlignment="0" applyProtection="0"/>
    <xf numFmtId="0" fontId="10" fillId="0" borderId="0"/>
    <xf numFmtId="3" fontId="1" fillId="0" borderId="0" applyFont="0" applyFill="0" applyBorder="0" applyAlignment="0" applyProtection="0"/>
  </cellStyleXfs>
  <cellXfs count="76">
    <xf numFmtId="0" fontId="0" fillId="0" borderId="0" xfId="0"/>
    <xf numFmtId="0" fontId="0" fillId="0" borderId="0" xfId="0" applyAlignment="1">
      <alignment horizontal="center"/>
    </xf>
    <xf numFmtId="0" fontId="2" fillId="0" borderId="0" xfId="0" applyFont="1" applyAlignment="1">
      <alignment horizontal="center" wrapText="1"/>
    </xf>
    <xf numFmtId="9" fontId="0" fillId="0" borderId="0" xfId="0" applyNumberFormat="1" applyAlignment="1">
      <alignment horizontal="center"/>
    </xf>
    <xf numFmtId="0" fontId="0" fillId="0" borderId="0" xfId="0" applyAlignment="1">
      <alignment horizontal="center" wrapText="1"/>
    </xf>
    <xf numFmtId="0" fontId="2" fillId="0" borderId="0" xfId="0" applyFont="1" applyAlignment="1">
      <alignment horizontal="center"/>
    </xf>
    <xf numFmtId="9" fontId="0" fillId="0" borderId="0" xfId="0" applyNumberFormat="1"/>
    <xf numFmtId="0" fontId="2" fillId="0" borderId="0" xfId="0" applyFont="1"/>
    <xf numFmtId="4" fontId="0" fillId="0" borderId="0" xfId="0" applyNumberFormat="1"/>
    <xf numFmtId="10" fontId="0" fillId="5" borderId="0" xfId="7" applyNumberFormat="1" applyFont="1" applyFill="1"/>
    <xf numFmtId="10" fontId="0" fillId="5" borderId="0" xfId="0" applyNumberFormat="1" applyFill="1"/>
    <xf numFmtId="0" fontId="1" fillId="0" borderId="0" xfId="0" applyFont="1"/>
    <xf numFmtId="0" fontId="1" fillId="5" borderId="0" xfId="0" applyFont="1" applyFill="1" applyAlignment="1">
      <alignment horizontal="left" indent="1"/>
    </xf>
    <xf numFmtId="0" fontId="0" fillId="5" borderId="0" xfId="0" applyFill="1"/>
    <xf numFmtId="4" fontId="0" fillId="5" borderId="0" xfId="0" applyNumberFormat="1" applyFill="1"/>
    <xf numFmtId="8" fontId="0" fillId="0" borderId="0" xfId="0" applyNumberFormat="1"/>
    <xf numFmtId="166" fontId="0" fillId="5" borderId="0" xfId="0" applyNumberFormat="1" applyFill="1"/>
    <xf numFmtId="0" fontId="0" fillId="0" borderId="0" xfId="0" applyFill="1"/>
    <xf numFmtId="0" fontId="2" fillId="0" borderId="0" xfId="0" applyFont="1" applyFill="1"/>
    <xf numFmtId="0" fontId="2" fillId="0" borderId="0" xfId="0" applyFont="1" applyAlignment="1">
      <alignment wrapText="1"/>
    </xf>
    <xf numFmtId="3" fontId="0" fillId="0" borderId="0" xfId="0" applyNumberFormat="1"/>
    <xf numFmtId="0" fontId="1" fillId="5" borderId="0" xfId="0" applyFont="1" applyFill="1"/>
    <xf numFmtId="9" fontId="0" fillId="5" borderId="0" xfId="0" applyNumberFormat="1" applyFill="1"/>
    <xf numFmtId="0" fontId="1" fillId="0" borderId="0" xfId="8"/>
    <xf numFmtId="0" fontId="1" fillId="0" borderId="0" xfId="8" applyAlignment="1">
      <alignment horizontal="center"/>
    </xf>
    <xf numFmtId="0" fontId="2" fillId="0" borderId="0" xfId="8" applyFont="1" applyAlignment="1">
      <alignment horizontal="center"/>
    </xf>
    <xf numFmtId="0" fontId="1" fillId="6" borderId="0" xfId="8" applyFill="1" applyAlignment="1">
      <alignment horizontal="center"/>
    </xf>
    <xf numFmtId="9" fontId="1" fillId="0" borderId="0" xfId="8" applyNumberFormat="1"/>
    <xf numFmtId="9" fontId="1" fillId="0" borderId="0" xfId="0" applyNumberFormat="1" applyFont="1" applyAlignment="1">
      <alignment horizontal="center"/>
    </xf>
    <xf numFmtId="0" fontId="2" fillId="0" borderId="0" xfId="8" applyFont="1"/>
    <xf numFmtId="3" fontId="1" fillId="0" borderId="0" xfId="8" applyNumberFormat="1"/>
    <xf numFmtId="4" fontId="0" fillId="0" borderId="0" xfId="9" applyFont="1"/>
    <xf numFmtId="4" fontId="1" fillId="0" borderId="0" xfId="9"/>
    <xf numFmtId="0" fontId="1" fillId="5" borderId="0" xfId="8" applyFill="1" applyAlignment="1">
      <alignment horizontal="left" wrapText="1"/>
    </xf>
    <xf numFmtId="2" fontId="1" fillId="5" borderId="0" xfId="8" applyNumberFormat="1" applyFill="1"/>
    <xf numFmtId="8" fontId="1" fillId="0" borderId="0" xfId="8" applyNumberFormat="1"/>
    <xf numFmtId="165" fontId="1" fillId="0" borderId="0" xfId="8" applyNumberFormat="1"/>
    <xf numFmtId="0" fontId="1" fillId="0" borderId="0" xfId="8" applyAlignment="1">
      <alignment wrapText="1"/>
    </xf>
    <xf numFmtId="4" fontId="1" fillId="0" borderId="0" xfId="1" applyNumberFormat="1"/>
    <xf numFmtId="4" fontId="1" fillId="0" borderId="0" xfId="8" applyNumberFormat="1"/>
    <xf numFmtId="0" fontId="1" fillId="8" borderId="0" xfId="8" applyFill="1" applyAlignment="1">
      <alignment wrapText="1"/>
    </xf>
    <xf numFmtId="4" fontId="1" fillId="8" borderId="0" xfId="1" applyNumberFormat="1" applyFill="1"/>
    <xf numFmtId="0" fontId="1" fillId="0" borderId="0" xfId="0" applyFont="1" applyAlignment="1">
      <alignment horizontal="center" vertical="top" wrapText="1"/>
    </xf>
    <xf numFmtId="0" fontId="0" fillId="0" borderId="0" xfId="0" applyAlignment="1">
      <alignment horizontal="center" vertical="center" wrapText="1"/>
    </xf>
    <xf numFmtId="0" fontId="1" fillId="0" borderId="0" xfId="0" applyFont="1" applyAlignment="1">
      <alignment horizontal="center" vertical="center" wrapText="1"/>
    </xf>
    <xf numFmtId="9" fontId="0" fillId="0" borderId="0" xfId="0" applyNumberFormat="1" applyFill="1"/>
    <xf numFmtId="4" fontId="0" fillId="0" borderId="0" xfId="0" applyNumberFormat="1" applyFill="1"/>
    <xf numFmtId="0" fontId="3" fillId="0" borderId="0" xfId="0" applyFont="1" applyAlignment="1">
      <alignment horizontal="center"/>
    </xf>
    <xf numFmtId="0" fontId="10" fillId="0" borderId="0" xfId="0" applyFont="1" applyAlignment="1">
      <alignment horizontal="center" vertical="center" wrapText="1"/>
    </xf>
    <xf numFmtId="0" fontId="3" fillId="0" borderId="0" xfId="8" applyFont="1" applyAlignment="1">
      <alignment horizontal="center"/>
    </xf>
    <xf numFmtId="0" fontId="2" fillId="7" borderId="0" xfId="0" applyFont="1" applyFill="1" applyAlignment="1">
      <alignment horizontal="center"/>
    </xf>
    <xf numFmtId="0" fontId="3" fillId="0" borderId="0" xfId="8" applyFont="1" applyAlignment="1">
      <alignment horizontal="center" vertical="center" wrapText="1"/>
    </xf>
    <xf numFmtId="0" fontId="3" fillId="0" borderId="0" xfId="8" applyFont="1" applyAlignment="1">
      <alignment horizontal="center" vertical="center"/>
    </xf>
    <xf numFmtId="0" fontId="12" fillId="0" borderId="0" xfId="0" applyFont="1"/>
    <xf numFmtId="0" fontId="12" fillId="5" borderId="0" xfId="0" applyFont="1" applyFill="1"/>
    <xf numFmtId="9" fontId="12" fillId="0" borderId="0" xfId="0" applyNumberFormat="1" applyFont="1"/>
    <xf numFmtId="0" fontId="10" fillId="0" borderId="0" xfId="0" applyFont="1" applyAlignment="1">
      <alignment horizontal="center"/>
    </xf>
    <xf numFmtId="0" fontId="12" fillId="0" borderId="0" xfId="0" applyFont="1" applyAlignment="1">
      <alignment horizontal="center"/>
    </xf>
    <xf numFmtId="3" fontId="12" fillId="0" borderId="0" xfId="0" applyNumberFormat="1" applyFont="1"/>
    <xf numFmtId="4" fontId="12" fillId="5" borderId="0" xfId="0" applyNumberFormat="1" applyFont="1" applyFill="1"/>
    <xf numFmtId="10" fontId="12" fillId="0" borderId="0" xfId="0" applyNumberFormat="1" applyFont="1"/>
    <xf numFmtId="10" fontId="12" fillId="5" borderId="0" xfId="0" applyNumberFormat="1" applyFont="1" applyFill="1"/>
    <xf numFmtId="0" fontId="12" fillId="9" borderId="0" xfId="0" applyFont="1" applyFill="1"/>
    <xf numFmtId="0" fontId="10" fillId="0" borderId="0" xfId="0" applyFont="1" applyAlignment="1">
      <alignment horizontal="center"/>
    </xf>
    <xf numFmtId="0" fontId="10" fillId="0" borderId="0" xfId="0" applyFont="1"/>
    <xf numFmtId="10" fontId="12" fillId="9" borderId="0" xfId="0" applyNumberFormat="1" applyFont="1" applyFill="1"/>
    <xf numFmtId="0" fontId="10" fillId="0" borderId="0" xfId="0" applyFont="1" applyAlignment="1">
      <alignment horizontal="center" wrapText="1"/>
    </xf>
    <xf numFmtId="0" fontId="12" fillId="0" borderId="0" xfId="0" applyFont="1" applyAlignment="1">
      <alignment horizontal="right"/>
    </xf>
    <xf numFmtId="4" fontId="12" fillId="0" borderId="0" xfId="0" applyNumberFormat="1" applyFont="1"/>
    <xf numFmtId="9" fontId="12" fillId="0" borderId="0" xfId="0" applyNumberFormat="1" applyFont="1" applyAlignment="1">
      <alignment horizontal="center"/>
    </xf>
    <xf numFmtId="4" fontId="12" fillId="0" borderId="0" xfId="0" applyNumberFormat="1" applyFont="1" applyAlignment="1">
      <alignment horizontal="right"/>
    </xf>
    <xf numFmtId="0" fontId="10" fillId="0" borderId="0" xfId="0" applyFont="1" applyAlignment="1">
      <alignment horizontal="right"/>
    </xf>
    <xf numFmtId="0" fontId="12" fillId="0" borderId="0" xfId="0" applyFont="1" applyFill="1"/>
    <xf numFmtId="4" fontId="12" fillId="10" borderId="0" xfId="0" applyNumberFormat="1" applyFont="1" applyFill="1"/>
    <xf numFmtId="10" fontId="12" fillId="10" borderId="0" xfId="0" applyNumberFormat="1" applyFont="1" applyFill="1"/>
    <xf numFmtId="0" fontId="10" fillId="10" borderId="0" xfId="0" applyFont="1" applyFill="1" applyAlignment="1">
      <alignment horizontal="center"/>
    </xf>
  </cellXfs>
  <cellStyles count="13">
    <cellStyle name="20% - Accent3 2" xfId="4"/>
    <cellStyle name="Calculation 2" xfId="6"/>
    <cellStyle name="Comma [0] 2" xfId="12"/>
    <cellStyle name="Comma 2" xfId="9"/>
    <cellStyle name="Currency" xfId="1" builtinId="4"/>
    <cellStyle name="Currency 2" xfId="3"/>
    <cellStyle name="Input 2" xfId="5"/>
    <cellStyle name="Normal" xfId="0" builtinId="0"/>
    <cellStyle name="Normal 2" xfId="2"/>
    <cellStyle name="Normal 3" xfId="8"/>
    <cellStyle name="Percent" xfId="7" builtinId="5"/>
    <cellStyle name="Percent 2" xfId="10"/>
    <cellStyle name="Title 2" xfId="1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NPV and the discount rate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'Page 64'!$B$16</c:f>
              <c:strCache>
                <c:ptCount val="1"/>
                <c:pt idx="0">
                  <c:v>NPV</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'Page 64'!$A$17:$A$33</c:f>
              <c:numCache>
                <c:formatCode>0%</c:formatCode>
                <c:ptCount val="17"/>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numCache>
            </c:numRef>
          </c:xVal>
          <c:yVal>
            <c:numRef>
              <c:f>'Page 64'!$B$17:$B$33</c:f>
              <c:numCache>
                <c:formatCode>#,##0.00</c:formatCode>
                <c:ptCount val="17"/>
                <c:pt idx="0">
                  <c:v>200</c:v>
                </c:pt>
                <c:pt idx="1">
                  <c:v>165.85713038939468</c:v>
                </c:pt>
                <c:pt idx="2">
                  <c:v>133.35959923698465</c:v>
                </c:pt>
                <c:pt idx="3">
                  <c:v>102.40949417564309</c:v>
                </c:pt>
                <c:pt idx="4">
                  <c:v>72.915729625928861</c:v>
                </c:pt>
                <c:pt idx="5">
                  <c:v>44.793505351606086</c:v>
                </c:pt>
                <c:pt idx="6">
                  <c:v>17.963812919427937</c:v>
                </c:pt>
                <c:pt idx="7">
                  <c:v>-7.6470145986324951</c:v>
                </c:pt>
                <c:pt idx="8">
                  <c:v>-32.107713848866752</c:v>
                </c:pt>
                <c:pt idx="9">
                  <c:v>-55.482467075945578</c:v>
                </c:pt>
                <c:pt idx="10">
                  <c:v>-77.831246002819171</c:v>
                </c:pt>
                <c:pt idx="11">
                  <c:v>-99.210126709294059</c:v>
                </c:pt>
                <c:pt idx="12">
                  <c:v>-119.671578202163</c:v>
                </c:pt>
                <c:pt idx="13">
                  <c:v>-139.26472709747384</c:v>
                </c:pt>
                <c:pt idx="14">
                  <c:v>-158.03560059294614</c:v>
                </c:pt>
                <c:pt idx="15">
                  <c:v>-176.02734969220865</c:v>
                </c:pt>
                <c:pt idx="16">
                  <c:v>-193.28045444943132</c:v>
                </c:pt>
              </c:numCache>
            </c:numRef>
          </c:yVal>
          <c:smooth val="1"/>
          <c:extLst>
            <c:ext xmlns:c16="http://schemas.microsoft.com/office/drawing/2014/chart" uri="{C3380CC4-5D6E-409C-BE32-E72D297353CC}">
              <c16:uniqueId val="{00000000-AF23-487B-A50A-50DC27F2D2C8}"/>
            </c:ext>
          </c:extLst>
        </c:ser>
        <c:dLbls>
          <c:showLegendKey val="0"/>
          <c:showVal val="0"/>
          <c:showCatName val="0"/>
          <c:showSerName val="0"/>
          <c:showPercent val="0"/>
          <c:showBubbleSize val="0"/>
        </c:dLbls>
        <c:axId val="231829504"/>
        <c:axId val="231831424"/>
      </c:scatterChart>
      <c:valAx>
        <c:axId val="23182950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Discount rate</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831424"/>
        <c:crosses val="autoZero"/>
        <c:crossBetween val="midCat"/>
      </c:valAx>
      <c:valAx>
        <c:axId val="231831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NPV</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8295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NPV as Function of Discount Rate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4553391112801338E-2"/>
          <c:y val="0.18071747881079572"/>
          <c:w val="0.84869348879116713"/>
          <c:h val="0.76568607290344659"/>
        </c:manualLayout>
      </c:layout>
      <c:scatterChart>
        <c:scatterStyle val="lineMarker"/>
        <c:varyColors val="0"/>
        <c:ser>
          <c:idx val="0"/>
          <c:order val="0"/>
          <c:tx>
            <c:strRef>
              <c:f>'Page 67'!$B$14</c:f>
              <c:strCache>
                <c:ptCount val="1"/>
                <c:pt idx="0">
                  <c:v>NPV</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'Page 67'!$A$15:$A$31</c:f>
              <c:numCache>
                <c:formatCode>0%</c:formatCode>
                <c:ptCount val="17"/>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numCache>
            </c:numRef>
          </c:xVal>
          <c:yVal>
            <c:numRef>
              <c:f>'Page 67'!$B$15:$B$31</c:f>
              <c:numCache>
                <c:formatCode>#,##0.00</c:formatCode>
                <c:ptCount val="17"/>
                <c:pt idx="0">
                  <c:v>200</c:v>
                </c:pt>
                <c:pt idx="1">
                  <c:v>165.85713038939468</c:v>
                </c:pt>
                <c:pt idx="2">
                  <c:v>133.35959923698465</c:v>
                </c:pt>
                <c:pt idx="3">
                  <c:v>102.40949417564309</c:v>
                </c:pt>
                <c:pt idx="4">
                  <c:v>72.915729625928861</c:v>
                </c:pt>
                <c:pt idx="5">
                  <c:v>44.793505351606086</c:v>
                </c:pt>
                <c:pt idx="6">
                  <c:v>17.963812919427937</c:v>
                </c:pt>
                <c:pt idx="7">
                  <c:v>-7.6470145986324951</c:v>
                </c:pt>
                <c:pt idx="8">
                  <c:v>-32.107713848866752</c:v>
                </c:pt>
                <c:pt idx="9">
                  <c:v>-55.482467075945578</c:v>
                </c:pt>
                <c:pt idx="10">
                  <c:v>-77.831246002819171</c:v>
                </c:pt>
                <c:pt idx="11">
                  <c:v>-99.210126709294059</c:v>
                </c:pt>
                <c:pt idx="12">
                  <c:v>-119.671578202163</c:v>
                </c:pt>
                <c:pt idx="13">
                  <c:v>-139.26472709747384</c:v>
                </c:pt>
                <c:pt idx="14">
                  <c:v>-158.03560059294614</c:v>
                </c:pt>
                <c:pt idx="15">
                  <c:v>-176.02734969220865</c:v>
                </c:pt>
                <c:pt idx="16">
                  <c:v>-193.28045444943132</c:v>
                </c:pt>
              </c:numCache>
            </c:numRef>
          </c:yVal>
          <c:smooth val="0"/>
          <c:extLst>
            <c:ext xmlns:c16="http://schemas.microsoft.com/office/drawing/2014/chart" uri="{C3380CC4-5D6E-409C-BE32-E72D297353CC}">
              <c16:uniqueId val="{00000000-25D9-484C-8E4B-FC99E4369D0C}"/>
            </c:ext>
          </c:extLst>
        </c:ser>
        <c:dLbls>
          <c:showLegendKey val="0"/>
          <c:showVal val="0"/>
          <c:showCatName val="0"/>
          <c:showSerName val="0"/>
          <c:showPercent val="0"/>
          <c:showBubbleSize val="0"/>
        </c:dLbls>
        <c:axId val="234313984"/>
        <c:axId val="234332544"/>
      </c:scatterChart>
      <c:valAx>
        <c:axId val="234313984"/>
        <c:scaling>
          <c:orientation val="minMax"/>
          <c:max val="0.16000000000000003"/>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332544"/>
        <c:crosses val="autoZero"/>
        <c:crossBetween val="midCat"/>
        <c:majorUnit val="1.0000000000000002E-2"/>
      </c:valAx>
      <c:valAx>
        <c:axId val="234332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3139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a:t>NPV of Projects A and B</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'Page 80'!$B$17</c:f>
              <c:strCache>
                <c:ptCount val="1"/>
                <c:pt idx="0">
                  <c:v>Project A NPV</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'Page 80'!$A$19:$A$34</c:f>
              <c:numCache>
                <c:formatCode>0%</c:formatCode>
                <c:ptCount val="16"/>
                <c:pt idx="0">
                  <c:v>0</c:v>
                </c:pt>
                <c:pt idx="1">
                  <c:v>0.02</c:v>
                </c:pt>
                <c:pt idx="2">
                  <c:v>0.04</c:v>
                </c:pt>
                <c:pt idx="3">
                  <c:v>0.06</c:v>
                </c:pt>
                <c:pt idx="4">
                  <c:v>0.08</c:v>
                </c:pt>
                <c:pt idx="5">
                  <c:v>0.1</c:v>
                </c:pt>
                <c:pt idx="6">
                  <c:v>0.12</c:v>
                </c:pt>
                <c:pt idx="7">
                  <c:v>0.14000000000000001</c:v>
                </c:pt>
                <c:pt idx="8">
                  <c:v>0.16</c:v>
                </c:pt>
                <c:pt idx="9">
                  <c:v>0.18</c:v>
                </c:pt>
                <c:pt idx="10">
                  <c:v>0.2</c:v>
                </c:pt>
                <c:pt idx="11">
                  <c:v>0.22</c:v>
                </c:pt>
                <c:pt idx="12">
                  <c:v>0.24</c:v>
                </c:pt>
                <c:pt idx="13">
                  <c:v>0.26</c:v>
                </c:pt>
                <c:pt idx="14">
                  <c:v>0.28000000000000003</c:v>
                </c:pt>
                <c:pt idx="15">
                  <c:v>0.3</c:v>
                </c:pt>
              </c:numCache>
            </c:numRef>
          </c:cat>
          <c:val>
            <c:numRef>
              <c:f>'Page 80'!$B$19:$B$34</c:f>
              <c:numCache>
                <c:formatCode>#,##0.00</c:formatCode>
                <c:ptCount val="16"/>
                <c:pt idx="0">
                  <c:v>450</c:v>
                </c:pt>
                <c:pt idx="1">
                  <c:v>382.56585312939899</c:v>
                </c:pt>
                <c:pt idx="2">
                  <c:v>321.69060216594437</c:v>
                </c:pt>
                <c:pt idx="3">
                  <c:v>266.60416089180558</c:v>
                </c:pt>
                <c:pt idx="4">
                  <c:v>216.64056014858818</c:v>
                </c:pt>
                <c:pt idx="5">
                  <c:v>171.22215944017705</c:v>
                </c:pt>
                <c:pt idx="6">
                  <c:v>129.84649718123376</c:v>
                </c:pt>
                <c:pt idx="7">
                  <c:v>92.075299740910282</c:v>
                </c:pt>
                <c:pt idx="8">
                  <c:v>57.525263455499271</c:v>
                </c:pt>
                <c:pt idx="9">
                  <c:v>25.860298112485907</c:v>
                </c:pt>
                <c:pt idx="10">
                  <c:v>-3.2150205761316215</c:v>
                </c:pt>
                <c:pt idx="11">
                  <c:v>-29.960994939285172</c:v>
                </c:pt>
                <c:pt idx="12">
                  <c:v>-54.607513509569287</c:v>
                </c:pt>
                <c:pt idx="13">
                  <c:v>-77.358060866970732</c:v>
                </c:pt>
                <c:pt idx="14">
                  <c:v>-98.393142223358154</c:v>
                </c:pt>
                <c:pt idx="15">
                  <c:v>-117.8732160315439</c:v>
                </c:pt>
              </c:numCache>
            </c:numRef>
          </c:val>
          <c:smooth val="0"/>
          <c:extLst>
            <c:ext xmlns:c16="http://schemas.microsoft.com/office/drawing/2014/chart" uri="{C3380CC4-5D6E-409C-BE32-E72D297353CC}">
              <c16:uniqueId val="{00000000-B3B8-4CCA-B181-110CDA4B9677}"/>
            </c:ext>
          </c:extLst>
        </c:ser>
        <c:ser>
          <c:idx val="1"/>
          <c:order val="1"/>
          <c:tx>
            <c:strRef>
              <c:f>'Page 80'!$C$17</c:f>
              <c:strCache>
                <c:ptCount val="1"/>
                <c:pt idx="0">
                  <c:v>Project B NPV</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'Page 80'!$A$19:$A$34</c:f>
              <c:numCache>
                <c:formatCode>0%</c:formatCode>
                <c:ptCount val="16"/>
                <c:pt idx="0">
                  <c:v>0</c:v>
                </c:pt>
                <c:pt idx="1">
                  <c:v>0.02</c:v>
                </c:pt>
                <c:pt idx="2">
                  <c:v>0.04</c:v>
                </c:pt>
                <c:pt idx="3">
                  <c:v>0.06</c:v>
                </c:pt>
                <c:pt idx="4">
                  <c:v>0.08</c:v>
                </c:pt>
                <c:pt idx="5">
                  <c:v>0.1</c:v>
                </c:pt>
                <c:pt idx="6">
                  <c:v>0.12</c:v>
                </c:pt>
                <c:pt idx="7">
                  <c:v>0.14000000000000001</c:v>
                </c:pt>
                <c:pt idx="8">
                  <c:v>0.16</c:v>
                </c:pt>
                <c:pt idx="9">
                  <c:v>0.18</c:v>
                </c:pt>
                <c:pt idx="10">
                  <c:v>0.2</c:v>
                </c:pt>
                <c:pt idx="11">
                  <c:v>0.22</c:v>
                </c:pt>
                <c:pt idx="12">
                  <c:v>0.24</c:v>
                </c:pt>
                <c:pt idx="13">
                  <c:v>0.26</c:v>
                </c:pt>
                <c:pt idx="14">
                  <c:v>0.28000000000000003</c:v>
                </c:pt>
                <c:pt idx="15">
                  <c:v>0.3</c:v>
                </c:pt>
              </c:numCache>
            </c:numRef>
          </c:cat>
          <c:val>
            <c:numRef>
              <c:f>'Page 80'!$C$19:$C$34</c:f>
              <c:numCache>
                <c:formatCode>#,##0.00</c:formatCode>
                <c:ptCount val="16"/>
                <c:pt idx="0">
                  <c:v>590</c:v>
                </c:pt>
                <c:pt idx="1">
                  <c:v>492.96773861342695</c:v>
                </c:pt>
                <c:pt idx="2">
                  <c:v>405.43776242751665</c:v>
                </c:pt>
                <c:pt idx="3">
                  <c:v>326.29026025873486</c:v>
                </c:pt>
                <c:pt idx="4">
                  <c:v>254.5572112217327</c:v>
                </c:pt>
                <c:pt idx="5">
                  <c:v>189.39932071207227</c:v>
                </c:pt>
                <c:pt idx="6">
                  <c:v>130.08681743469947</c:v>
                </c:pt>
                <c:pt idx="7">
                  <c:v>75.983408320113199</c:v>
                </c:pt>
                <c:pt idx="8">
                  <c:v>26.532826123002678</c:v>
                </c:pt>
                <c:pt idx="9">
                  <c:v>-18.752486478292212</c:v>
                </c:pt>
                <c:pt idx="10">
                  <c:v>-60.300925925925981</c:v>
                </c:pt>
                <c:pt idx="11">
                  <c:v>-98.4898106367624</c:v>
                </c:pt>
                <c:pt idx="12">
                  <c:v>-133.65224312799216</c:v>
                </c:pt>
                <c:pt idx="13">
                  <c:v>-166.08295251981679</c:v>
                </c:pt>
                <c:pt idx="14">
                  <c:v>-196.04328274726868</c:v>
                </c:pt>
                <c:pt idx="15">
                  <c:v>-223.76546285548079</c:v>
                </c:pt>
              </c:numCache>
            </c:numRef>
          </c:val>
          <c:smooth val="0"/>
          <c:extLst>
            <c:ext xmlns:c16="http://schemas.microsoft.com/office/drawing/2014/chart" uri="{C3380CC4-5D6E-409C-BE32-E72D297353CC}">
              <c16:uniqueId val="{00000001-B3B8-4CCA-B181-110CDA4B9677}"/>
            </c:ext>
          </c:extLst>
        </c:ser>
        <c:ser>
          <c:idx val="2"/>
          <c:order val="2"/>
          <c:tx>
            <c:v>NPV(B-A)</c:v>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'Page 80'!$D$19:$D$34</c:f>
              <c:numCache>
                <c:formatCode>#,##0.00</c:formatCode>
                <c:ptCount val="16"/>
                <c:pt idx="0">
                  <c:v>140</c:v>
                </c:pt>
                <c:pt idx="1">
                  <c:v>110.40188548402796</c:v>
                </c:pt>
                <c:pt idx="2">
                  <c:v>83.747160261572276</c:v>
                </c:pt>
                <c:pt idx="3">
                  <c:v>59.686099366929284</c:v>
                </c:pt>
                <c:pt idx="4">
                  <c:v>37.916651073144521</c:v>
                </c:pt>
                <c:pt idx="5">
                  <c:v>18.177161271895216</c:v>
                </c:pt>
                <c:pt idx="6">
                  <c:v>0.24032025346571118</c:v>
                </c:pt>
                <c:pt idx="7">
                  <c:v>-16.091891420797083</c:v>
                </c:pt>
                <c:pt idx="8">
                  <c:v>-30.992437332496593</c:v>
                </c:pt>
                <c:pt idx="9">
                  <c:v>-44.612784590778119</c:v>
                </c:pt>
                <c:pt idx="10">
                  <c:v>-57.085905349794359</c:v>
                </c:pt>
                <c:pt idx="11">
                  <c:v>-68.528815697477228</c:v>
                </c:pt>
                <c:pt idx="12">
                  <c:v>-79.044729618422878</c:v>
                </c:pt>
                <c:pt idx="13">
                  <c:v>-88.724891652846054</c:v>
                </c:pt>
                <c:pt idx="14">
                  <c:v>-97.650140523910522</c:v>
                </c:pt>
                <c:pt idx="15">
                  <c:v>-105.89224682393689</c:v>
                </c:pt>
              </c:numCache>
            </c:numRef>
          </c:val>
          <c:smooth val="0"/>
          <c:extLst>
            <c:ext xmlns:c16="http://schemas.microsoft.com/office/drawing/2014/chart" uri="{C3380CC4-5D6E-409C-BE32-E72D297353CC}">
              <c16:uniqueId val="{00000000-8F08-4D7B-BD66-2BD13EE3482D}"/>
            </c:ext>
          </c:extLst>
        </c:ser>
        <c:dLbls>
          <c:showLegendKey val="0"/>
          <c:showVal val="0"/>
          <c:showCatName val="0"/>
          <c:showSerName val="0"/>
          <c:showPercent val="0"/>
          <c:showBubbleSize val="0"/>
        </c:dLbls>
        <c:marker val="1"/>
        <c:smooth val="0"/>
        <c:axId val="234465152"/>
        <c:axId val="234471424"/>
      </c:lineChart>
      <c:catAx>
        <c:axId val="234465152"/>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34471424"/>
        <c:crosses val="autoZero"/>
        <c:auto val="1"/>
        <c:lblAlgn val="ctr"/>
        <c:lblOffset val="100"/>
        <c:noMultiLvlLbl val="0"/>
      </c:catAx>
      <c:valAx>
        <c:axId val="234471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344651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b="1"/>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Sanitary Landfill,</a:t>
            </a:r>
            <a:r>
              <a:rPr lang="en-US" b="1" baseline="0"/>
              <a:t> NPV</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'Page 87'!$B$15</c:f>
              <c:strCache>
                <c:ptCount val="1"/>
                <c:pt idx="0">
                  <c:v>NPV</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'Page 87'!$A$16:$A$34</c:f>
              <c:numCache>
                <c:formatCode>0%</c:formatCode>
                <c:ptCount val="19"/>
                <c:pt idx="0">
                  <c:v>0</c:v>
                </c:pt>
                <c:pt idx="1">
                  <c:v>0.02</c:v>
                </c:pt>
                <c:pt idx="2">
                  <c:v>0.04</c:v>
                </c:pt>
                <c:pt idx="3">
                  <c:v>0.06</c:v>
                </c:pt>
                <c:pt idx="4">
                  <c:v>0.08</c:v>
                </c:pt>
                <c:pt idx="5">
                  <c:v>0.1</c:v>
                </c:pt>
                <c:pt idx="6">
                  <c:v>0.12</c:v>
                </c:pt>
                <c:pt idx="7">
                  <c:v>0.14000000000000001</c:v>
                </c:pt>
                <c:pt idx="8">
                  <c:v>0.16</c:v>
                </c:pt>
                <c:pt idx="9">
                  <c:v>0.18</c:v>
                </c:pt>
                <c:pt idx="10">
                  <c:v>0.2</c:v>
                </c:pt>
                <c:pt idx="11">
                  <c:v>0.22</c:v>
                </c:pt>
                <c:pt idx="12">
                  <c:v>0.24</c:v>
                </c:pt>
                <c:pt idx="13">
                  <c:v>0.26</c:v>
                </c:pt>
                <c:pt idx="14">
                  <c:v>0.28000000000000003</c:v>
                </c:pt>
                <c:pt idx="15">
                  <c:v>0.3</c:v>
                </c:pt>
                <c:pt idx="16">
                  <c:v>0.32</c:v>
                </c:pt>
                <c:pt idx="17">
                  <c:v>0.34</c:v>
                </c:pt>
                <c:pt idx="18">
                  <c:v>0.36</c:v>
                </c:pt>
              </c:numCache>
            </c:numRef>
          </c:xVal>
          <c:yVal>
            <c:numRef>
              <c:f>'Page 87'!$B$16:$B$34</c:f>
              <c:numCache>
                <c:formatCode>#,##0.00</c:formatCode>
                <c:ptCount val="19"/>
                <c:pt idx="0">
                  <c:v>-50</c:v>
                </c:pt>
                <c:pt idx="1">
                  <c:v>-10.900294452395769</c:v>
                </c:pt>
                <c:pt idx="2">
                  <c:v>17.848260362074143</c:v>
                </c:pt>
                <c:pt idx="3">
                  <c:v>38.122892845056299</c:v>
                </c:pt>
                <c:pt idx="4">
                  <c:v>51.465076360481135</c:v>
                </c:pt>
                <c:pt idx="5">
                  <c:v>59.143151153135591</c:v>
                </c:pt>
                <c:pt idx="6">
                  <c:v>62.20260928927064</c:v>
                </c:pt>
                <c:pt idx="7">
                  <c:v>61.506614460234118</c:v>
                </c:pt>
                <c:pt idx="8">
                  <c:v>57.768762146432323</c:v>
                </c:pt>
                <c:pt idx="9">
                  <c:v>51.579650656321746</c:v>
                </c:pt>
                <c:pt idx="10">
                  <c:v>43.428497942386912</c:v>
                </c:pt>
                <c:pt idx="11">
                  <c:v>33.720779016992424</c:v>
                </c:pt>
                <c:pt idx="12">
                  <c:v>22.792656394627556</c:v>
                </c:pt>
                <c:pt idx="13">
                  <c:v>10.922817839236245</c:v>
                </c:pt>
                <c:pt idx="14">
                  <c:v>-1.6577883623540401</c:v>
                </c:pt>
                <c:pt idx="15">
                  <c:v>-14.757928063861527</c:v>
                </c:pt>
                <c:pt idx="16">
                  <c:v>-28.219450520495343</c:v>
                </c:pt>
                <c:pt idx="17">
                  <c:v>-41.911798130735065</c:v>
                </c:pt>
                <c:pt idx="18">
                  <c:v>-55.727451260729595</c:v>
                </c:pt>
              </c:numCache>
            </c:numRef>
          </c:yVal>
          <c:smooth val="0"/>
          <c:extLst>
            <c:ext xmlns:c16="http://schemas.microsoft.com/office/drawing/2014/chart" uri="{C3380CC4-5D6E-409C-BE32-E72D297353CC}">
              <c16:uniqueId val="{00000000-31C6-4263-82DC-B9AD060A0DA4}"/>
            </c:ext>
          </c:extLst>
        </c:ser>
        <c:dLbls>
          <c:showLegendKey val="0"/>
          <c:showVal val="0"/>
          <c:showCatName val="0"/>
          <c:showSerName val="0"/>
          <c:showPercent val="0"/>
          <c:showBubbleSize val="0"/>
        </c:dLbls>
        <c:axId val="244321664"/>
        <c:axId val="245765632"/>
      </c:scatterChart>
      <c:valAx>
        <c:axId val="244321664"/>
        <c:scaling>
          <c:orientation val="minMax"/>
          <c:max val="0.36000000000000004"/>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45765632"/>
        <c:crosses val="autoZero"/>
        <c:crossBetween val="midCat"/>
        <c:majorUnit val="3.0000000000000006E-2"/>
      </c:valAx>
      <c:valAx>
        <c:axId val="24576563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443216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240030</xdr:colOff>
      <xdr:row>13</xdr:row>
      <xdr:rowOff>99060</xdr:rowOff>
    </xdr:from>
    <xdr:to>
      <xdr:col>11</xdr:col>
      <xdr:colOff>480060</xdr:colOff>
      <xdr:row>31</xdr:row>
      <xdr:rowOff>24765</xdr:rowOff>
    </xdr:to>
    <xdr:graphicFrame macro="">
      <xdr:nvGraphicFramePr>
        <xdr:cNvPr id="2" name="Chart 1">
          <a:extLst>
            <a:ext uri="{FF2B5EF4-FFF2-40B4-BE49-F238E27FC236}">
              <a16:creationId xmlns:a16="http://schemas.microsoft.com/office/drawing/2014/main" id="{A809292E-9525-4983-B4D4-0BF014A8E3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276701</xdr:colOff>
      <xdr:row>4</xdr:row>
      <xdr:rowOff>20955</xdr:rowOff>
    </xdr:from>
    <xdr:to>
      <xdr:col>10</xdr:col>
      <xdr:colOff>160020</xdr:colOff>
      <xdr:row>19</xdr:row>
      <xdr:rowOff>128111</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395286</xdr:colOff>
      <xdr:row>5</xdr:row>
      <xdr:rowOff>71437</xdr:rowOff>
    </xdr:from>
    <xdr:to>
      <xdr:col>19</xdr:col>
      <xdr:colOff>514349</xdr:colOff>
      <xdr:row>25</xdr:row>
      <xdr:rowOff>152399</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97630</xdr:colOff>
      <xdr:row>19</xdr:row>
      <xdr:rowOff>114300</xdr:rowOff>
    </xdr:from>
    <xdr:to>
      <xdr:col>6</xdr:col>
      <xdr:colOff>638175</xdr:colOff>
      <xdr:row>36</xdr:row>
      <xdr:rowOff>107155</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1095375</xdr:colOff>
      <xdr:row>13</xdr:row>
      <xdr:rowOff>266699</xdr:rowOff>
    </xdr:from>
    <xdr:to>
      <xdr:col>1</xdr:col>
      <xdr:colOff>514350</xdr:colOff>
      <xdr:row>15</xdr:row>
      <xdr:rowOff>38099</xdr:rowOff>
    </xdr:to>
    <xdr:sp macro="" textlink="">
      <xdr:nvSpPr>
        <xdr:cNvPr id="2" name="Line 2">
          <a:extLst>
            <a:ext uri="{FF2B5EF4-FFF2-40B4-BE49-F238E27FC236}">
              <a16:creationId xmlns:a16="http://schemas.microsoft.com/office/drawing/2014/main" id="{00000000-0008-0000-1500-000002000000}"/>
            </a:ext>
          </a:extLst>
        </xdr:cNvPr>
        <xdr:cNvSpPr>
          <a:spLocks noChangeShapeType="1"/>
        </xdr:cNvSpPr>
      </xdr:nvSpPr>
      <xdr:spPr bwMode="auto">
        <a:xfrm flipV="1">
          <a:off x="1095375" y="2719387"/>
          <a:ext cx="642938" cy="257175"/>
        </a:xfrm>
        <a:prstGeom prst="line">
          <a:avLst/>
        </a:prstGeom>
        <a:noFill/>
        <a:ln w="9525">
          <a:solidFill>
            <a:srgbClr val="000000"/>
          </a:solidFill>
          <a:round/>
          <a:headEnd/>
          <a:tailEnd type="triangle" w="med" len="me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14"/>
  <sheetViews>
    <sheetView tabSelected="1" workbookViewId="0">
      <selection activeCell="D5" sqref="D5"/>
    </sheetView>
  </sheetViews>
  <sheetFormatPr defaultRowHeight="12.75" x14ac:dyDescent="0.2"/>
  <cols>
    <col min="1" max="1" width="16.28515625" customWidth="1"/>
    <col min="2" max="2" width="11.42578125" customWidth="1"/>
    <col min="3" max="3" width="14.140625" customWidth="1"/>
    <col min="4" max="4" width="22.7109375" customWidth="1"/>
  </cols>
  <sheetData>
    <row r="1" spans="1:4" ht="15.75" x14ac:dyDescent="0.2">
      <c r="A1" s="48" t="s">
        <v>4</v>
      </c>
      <c r="B1" s="48"/>
      <c r="C1" s="48"/>
      <c r="D1" s="48"/>
    </row>
    <row r="2" spans="1:4" x14ac:dyDescent="0.2">
      <c r="A2" s="11" t="s">
        <v>5</v>
      </c>
      <c r="B2" s="6">
        <v>0.05</v>
      </c>
    </row>
    <row r="4" spans="1:4" x14ac:dyDescent="0.2">
      <c r="A4" s="5" t="s">
        <v>2</v>
      </c>
      <c r="B4" s="5" t="s">
        <v>6</v>
      </c>
      <c r="C4" s="2" t="s">
        <v>45</v>
      </c>
    </row>
    <row r="5" spans="1:4" x14ac:dyDescent="0.2">
      <c r="A5" s="1">
        <v>0</v>
      </c>
      <c r="B5">
        <v>-800</v>
      </c>
      <c r="C5" s="8">
        <f>B5/(1+$B$2)^A5</f>
        <v>-800</v>
      </c>
      <c r="D5" t="str">
        <f ca="1">"&lt;-- "&amp;_xlfn.FORMULATEXT(C5)</f>
        <v>&lt;-- =B5/(1+$B$2)^A5</v>
      </c>
    </row>
    <row r="6" spans="1:4" x14ac:dyDescent="0.2">
      <c r="A6" s="1">
        <v>1</v>
      </c>
      <c r="B6">
        <v>100</v>
      </c>
      <c r="C6" s="8">
        <f t="shared" ref="C6:C10" si="0">B6/(1+$B$2)^A6</f>
        <v>95.238095238095241</v>
      </c>
      <c r="D6" t="str">
        <f ca="1">"&lt;-- "&amp;_xlfn.FORMULATEXT(C6)</f>
        <v>&lt;-- =B6/(1+$B$2)^A6</v>
      </c>
    </row>
    <row r="7" spans="1:4" x14ac:dyDescent="0.2">
      <c r="A7" s="1">
        <v>2</v>
      </c>
      <c r="B7">
        <v>150</v>
      </c>
      <c r="C7" s="8">
        <f t="shared" si="0"/>
        <v>136.05442176870747</v>
      </c>
    </row>
    <row r="8" spans="1:4" x14ac:dyDescent="0.2">
      <c r="A8" s="1">
        <v>3</v>
      </c>
      <c r="B8">
        <v>200</v>
      </c>
      <c r="C8" s="8">
        <f t="shared" si="0"/>
        <v>172.76751970629519</v>
      </c>
    </row>
    <row r="9" spans="1:4" x14ac:dyDescent="0.2">
      <c r="A9" s="1">
        <v>4</v>
      </c>
      <c r="B9">
        <v>250</v>
      </c>
      <c r="C9" s="8">
        <f t="shared" si="0"/>
        <v>205.67561869797049</v>
      </c>
    </row>
    <row r="10" spans="1:4" x14ac:dyDescent="0.2">
      <c r="A10" s="1">
        <v>5</v>
      </c>
      <c r="B10">
        <v>300</v>
      </c>
      <c r="C10" s="8">
        <f t="shared" si="0"/>
        <v>235.05784994053769</v>
      </c>
    </row>
    <row r="12" spans="1:4" x14ac:dyDescent="0.2">
      <c r="A12" s="7" t="s">
        <v>0</v>
      </c>
    </row>
    <row r="13" spans="1:4" x14ac:dyDescent="0.2">
      <c r="A13" s="12" t="s">
        <v>7</v>
      </c>
      <c r="B13" s="13"/>
      <c r="C13" s="14">
        <f>SUM(C5:C10)</f>
        <v>44.793505351606001</v>
      </c>
      <c r="D13" t="str">
        <f ca="1">"&lt;-- "&amp;_xlfn.FORMULATEXT(C13)</f>
        <v>&lt;-- =SUM(C5:C10)</v>
      </c>
    </row>
    <row r="14" spans="1:4" x14ac:dyDescent="0.2">
      <c r="A14" s="12" t="s">
        <v>66</v>
      </c>
      <c r="B14" s="13"/>
      <c r="C14" s="14">
        <f>B5+NPV(B2,B6:B10)</f>
        <v>44.793505351606086</v>
      </c>
      <c r="D14" t="str">
        <f ca="1">"&lt;-- "&amp;_xlfn.FORMULATEXT(C14)</f>
        <v>&lt;-- =B5+NPV(B2,B6:B10)</v>
      </c>
    </row>
  </sheetData>
  <mergeCells count="1">
    <mergeCell ref="A1:D1"/>
  </mergeCells>
  <printOptions headings="1" gridLines="1"/>
  <pageMargins left="0.7" right="0.7" top="0.75" bottom="0.75" header="0.3" footer="0.3"/>
  <pageSetup orientation="portrait" verticalDpi="4"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33"/>
  <sheetViews>
    <sheetView workbookViewId="0">
      <selection activeCell="D30" sqref="D30"/>
    </sheetView>
  </sheetViews>
  <sheetFormatPr defaultRowHeight="12.75" x14ac:dyDescent="0.2"/>
  <cols>
    <col min="1" max="1" width="16.28515625" customWidth="1"/>
    <col min="2" max="2" width="11.42578125" customWidth="1"/>
    <col min="3" max="3" width="14.140625" customWidth="1"/>
    <col min="4" max="4" width="22.7109375" customWidth="1"/>
  </cols>
  <sheetData>
    <row r="1" spans="1:4" ht="15.75" x14ac:dyDescent="0.2">
      <c r="A1" s="48" t="s">
        <v>4</v>
      </c>
      <c r="B1" s="48"/>
      <c r="C1" s="48"/>
      <c r="D1" s="48"/>
    </row>
    <row r="2" spans="1:4" x14ac:dyDescent="0.2">
      <c r="A2" s="11" t="s">
        <v>5</v>
      </c>
      <c r="B2" s="6">
        <v>0.05</v>
      </c>
    </row>
    <row r="4" spans="1:4" x14ac:dyDescent="0.2">
      <c r="A4" s="5" t="s">
        <v>2</v>
      </c>
      <c r="B4" s="5" t="s">
        <v>6</v>
      </c>
      <c r="C4" s="2" t="s">
        <v>45</v>
      </c>
    </row>
    <row r="5" spans="1:4" x14ac:dyDescent="0.2">
      <c r="A5" s="1">
        <v>0</v>
      </c>
      <c r="B5">
        <v>-800</v>
      </c>
      <c r="C5" s="8">
        <f>B5/(1+$B$2)^A5</f>
        <v>-800</v>
      </c>
      <c r="D5" t="str">
        <f ca="1">"&lt;-- "&amp;_xlfn.FORMULATEXT(C5)</f>
        <v>&lt;-- =B5/(1+$B$2)^A5</v>
      </c>
    </row>
    <row r="6" spans="1:4" x14ac:dyDescent="0.2">
      <c r="A6" s="1">
        <v>1</v>
      </c>
      <c r="B6">
        <v>100</v>
      </c>
      <c r="C6" s="8">
        <f t="shared" ref="C6:C10" si="0">B6/(1+$B$2)^A6</f>
        <v>95.238095238095241</v>
      </c>
      <c r="D6" t="str">
        <f ca="1">"&lt;-- "&amp;_xlfn.FORMULATEXT(C6)</f>
        <v>&lt;-- =B6/(1+$B$2)^A6</v>
      </c>
    </row>
    <row r="7" spans="1:4" x14ac:dyDescent="0.2">
      <c r="A7" s="1">
        <v>2</v>
      </c>
      <c r="B7">
        <v>150</v>
      </c>
      <c r="C7" s="8">
        <f t="shared" si="0"/>
        <v>136.05442176870747</v>
      </c>
    </row>
    <row r="8" spans="1:4" x14ac:dyDescent="0.2">
      <c r="A8" s="1">
        <v>3</v>
      </c>
      <c r="B8">
        <v>200</v>
      </c>
      <c r="C8" s="8">
        <f t="shared" si="0"/>
        <v>172.76751970629519</v>
      </c>
    </row>
    <row r="9" spans="1:4" x14ac:dyDescent="0.2">
      <c r="A9" s="1">
        <v>4</v>
      </c>
      <c r="B9">
        <v>250</v>
      </c>
      <c r="C9" s="8">
        <f t="shared" si="0"/>
        <v>205.67561869797049</v>
      </c>
    </row>
    <row r="10" spans="1:4" x14ac:dyDescent="0.2">
      <c r="A10" s="1">
        <v>5</v>
      </c>
      <c r="B10">
        <v>300</v>
      </c>
      <c r="C10" s="8">
        <f t="shared" si="0"/>
        <v>235.05784994053769</v>
      </c>
    </row>
    <row r="12" spans="1:4" x14ac:dyDescent="0.2">
      <c r="A12" s="7" t="s">
        <v>0</v>
      </c>
    </row>
    <row r="13" spans="1:4" x14ac:dyDescent="0.2">
      <c r="A13" s="12" t="s">
        <v>7</v>
      </c>
      <c r="B13" s="13"/>
      <c r="C13" s="14">
        <f>SUM(C5:C10)</f>
        <v>44.793505351606001</v>
      </c>
      <c r="D13" t="str">
        <f ca="1">"&lt;-- "&amp;_xlfn.FORMULATEXT(C13)</f>
        <v>&lt;-- =SUM(C5:C10)</v>
      </c>
    </row>
    <row r="14" spans="1:4" x14ac:dyDescent="0.2">
      <c r="A14" s="12" t="s">
        <v>66</v>
      </c>
      <c r="B14" s="13"/>
      <c r="C14" s="14">
        <f>B5+NPV(B2,B6:B10)</f>
        <v>44.793505351606086</v>
      </c>
      <c r="D14" t="str">
        <f ca="1">"&lt;-- "&amp;_xlfn.FORMULATEXT(C14)</f>
        <v>&lt;-- =B5+NPV(B2,B6:B10)</v>
      </c>
    </row>
    <row r="16" spans="1:4" x14ac:dyDescent="0.2">
      <c r="A16" s="7" t="s">
        <v>10</v>
      </c>
      <c r="B16" s="7" t="s">
        <v>0</v>
      </c>
    </row>
    <row r="17" spans="1:3" x14ac:dyDescent="0.2">
      <c r="A17" s="6">
        <v>0</v>
      </c>
      <c r="B17" s="8">
        <f>NPV(A17,$B$6:$B$10)+$B$5</f>
        <v>200</v>
      </c>
      <c r="C17" t="str">
        <f ca="1">getformula(B17)</f>
        <v>&lt;-- =NPV(A17,$B$6:$B$10)+$B$5</v>
      </c>
    </row>
    <row r="18" spans="1:3" x14ac:dyDescent="0.2">
      <c r="A18" s="6">
        <v>0.01</v>
      </c>
      <c r="B18" s="8">
        <f>NPV(A18,$B$6:$B$10)+$B$5</f>
        <v>165.85713038939468</v>
      </c>
      <c r="C18" t="str">
        <f t="shared" ref="C18:C19" ca="1" si="1">getformula(B18)</f>
        <v>&lt;-- =NPV(A18,$B$6:$B$10)+$B$5</v>
      </c>
    </row>
    <row r="19" spans="1:3" x14ac:dyDescent="0.2">
      <c r="A19" s="6">
        <v>0.02</v>
      </c>
      <c r="B19" s="8">
        <f t="shared" ref="B19:B33" si="2">NPV(A19,$B$6:$B$10)+$B$5</f>
        <v>133.35959923698465</v>
      </c>
      <c r="C19" t="str">
        <f t="shared" ca="1" si="1"/>
        <v>&lt;-- =NPV(A19,$B$6:$B$10)+$B$5</v>
      </c>
    </row>
    <row r="20" spans="1:3" x14ac:dyDescent="0.2">
      <c r="A20" s="6">
        <v>0.03</v>
      </c>
      <c r="B20" s="8">
        <f t="shared" si="2"/>
        <v>102.40949417564309</v>
      </c>
    </row>
    <row r="21" spans="1:3" x14ac:dyDescent="0.2">
      <c r="A21" s="6">
        <v>0.04</v>
      </c>
      <c r="B21" s="8">
        <f t="shared" si="2"/>
        <v>72.915729625928861</v>
      </c>
    </row>
    <row r="22" spans="1:3" x14ac:dyDescent="0.2">
      <c r="A22" s="6">
        <v>0.05</v>
      </c>
      <c r="B22" s="8">
        <f t="shared" si="2"/>
        <v>44.793505351606086</v>
      </c>
    </row>
    <row r="23" spans="1:3" x14ac:dyDescent="0.2">
      <c r="A23" s="6">
        <v>0.06</v>
      </c>
      <c r="B23" s="8">
        <f t="shared" si="2"/>
        <v>17.963812919427937</v>
      </c>
    </row>
    <row r="24" spans="1:3" x14ac:dyDescent="0.2">
      <c r="A24" s="6">
        <v>7.0000000000000007E-2</v>
      </c>
      <c r="B24" s="8">
        <f t="shared" si="2"/>
        <v>-7.6470145986324951</v>
      </c>
    </row>
    <row r="25" spans="1:3" x14ac:dyDescent="0.2">
      <c r="A25" s="6">
        <v>0.08</v>
      </c>
      <c r="B25" s="8">
        <f t="shared" si="2"/>
        <v>-32.107713848866752</v>
      </c>
    </row>
    <row r="26" spans="1:3" x14ac:dyDescent="0.2">
      <c r="A26" s="6">
        <v>0.09</v>
      </c>
      <c r="B26" s="8">
        <f t="shared" si="2"/>
        <v>-55.482467075945578</v>
      </c>
    </row>
    <row r="27" spans="1:3" x14ac:dyDescent="0.2">
      <c r="A27" s="6">
        <v>0.1</v>
      </c>
      <c r="B27" s="8">
        <f t="shared" si="2"/>
        <v>-77.831246002819171</v>
      </c>
    </row>
    <row r="28" spans="1:3" x14ac:dyDescent="0.2">
      <c r="A28" s="6">
        <v>0.11</v>
      </c>
      <c r="B28" s="8">
        <f t="shared" si="2"/>
        <v>-99.210126709294059</v>
      </c>
    </row>
    <row r="29" spans="1:3" x14ac:dyDescent="0.2">
      <c r="A29" s="6">
        <v>0.12</v>
      </c>
      <c r="B29" s="8">
        <f t="shared" si="2"/>
        <v>-119.671578202163</v>
      </c>
    </row>
    <row r="30" spans="1:3" x14ac:dyDescent="0.2">
      <c r="A30" s="6">
        <v>0.13</v>
      </c>
      <c r="B30" s="8">
        <f t="shared" si="2"/>
        <v>-139.26472709747384</v>
      </c>
    </row>
    <row r="31" spans="1:3" x14ac:dyDescent="0.2">
      <c r="A31" s="6">
        <v>0.14000000000000001</v>
      </c>
      <c r="B31" s="8">
        <f t="shared" si="2"/>
        <v>-158.03560059294614</v>
      </c>
    </row>
    <row r="32" spans="1:3" x14ac:dyDescent="0.2">
      <c r="A32" s="6">
        <v>0.15</v>
      </c>
      <c r="B32" s="8">
        <f t="shared" si="2"/>
        <v>-176.02734969220865</v>
      </c>
    </row>
    <row r="33" spans="1:16" ht="15" x14ac:dyDescent="0.2">
      <c r="A33" s="6">
        <v>0.16</v>
      </c>
      <c r="B33" s="8">
        <f t="shared" si="2"/>
        <v>-193.28045444943132</v>
      </c>
      <c r="F33" s="54" t="s">
        <v>67</v>
      </c>
      <c r="G33" s="13"/>
      <c r="H33" s="13"/>
      <c r="I33" s="13"/>
      <c r="J33" s="13"/>
      <c r="K33" s="13"/>
      <c r="L33" s="13"/>
      <c r="M33" s="13"/>
      <c r="N33" s="13"/>
      <c r="O33" s="13"/>
      <c r="P33" s="13"/>
    </row>
  </sheetData>
  <mergeCells count="1">
    <mergeCell ref="A1:D1"/>
  </mergeCells>
  <printOptions headings="1" gridLines="1"/>
  <pageMargins left="0.7" right="0.7" top="0.75" bottom="0.75" header="0.3" footer="0.3"/>
  <pageSetup orientation="portrait" verticalDpi="4"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31"/>
  <sheetViews>
    <sheetView workbookViewId="0">
      <selection activeCell="B12" sqref="B12"/>
    </sheetView>
  </sheetViews>
  <sheetFormatPr defaultRowHeight="12.75" x14ac:dyDescent="0.2"/>
  <cols>
    <col min="3" max="3" width="27.5703125" bestFit="1" customWidth="1"/>
  </cols>
  <sheetData>
    <row r="1" spans="1:7" ht="18" x14ac:dyDescent="0.25">
      <c r="A1" s="47" t="s">
        <v>8</v>
      </c>
      <c r="B1" s="47"/>
      <c r="C1" s="47"/>
      <c r="D1" s="47"/>
      <c r="E1" s="47"/>
      <c r="F1" s="47"/>
      <c r="G1" s="47"/>
    </row>
    <row r="2" spans="1:7" x14ac:dyDescent="0.2">
      <c r="A2" s="5" t="s">
        <v>2</v>
      </c>
      <c r="B2" s="5" t="s">
        <v>6</v>
      </c>
    </row>
    <row r="3" spans="1:7" x14ac:dyDescent="0.2">
      <c r="A3" s="1">
        <v>0</v>
      </c>
      <c r="B3">
        <v>-800</v>
      </c>
    </row>
    <row r="4" spans="1:7" x14ac:dyDescent="0.2">
      <c r="A4" s="1">
        <v>1</v>
      </c>
      <c r="B4">
        <v>100</v>
      </c>
    </row>
    <row r="5" spans="1:7" x14ac:dyDescent="0.2">
      <c r="A5" s="1">
        <v>2</v>
      </c>
      <c r="B5">
        <v>150</v>
      </c>
    </row>
    <row r="6" spans="1:7" x14ac:dyDescent="0.2">
      <c r="A6" s="1">
        <v>3</v>
      </c>
      <c r="B6">
        <v>200</v>
      </c>
    </row>
    <row r="7" spans="1:7" x14ac:dyDescent="0.2">
      <c r="A7" s="1">
        <v>4</v>
      </c>
      <c r="B7">
        <v>250</v>
      </c>
    </row>
    <row r="8" spans="1:7" x14ac:dyDescent="0.2">
      <c r="A8" s="1">
        <v>5</v>
      </c>
      <c r="B8">
        <v>300</v>
      </c>
    </row>
    <row r="10" spans="1:7" x14ac:dyDescent="0.2">
      <c r="A10" s="13" t="s">
        <v>1</v>
      </c>
      <c r="B10" s="16">
        <f>IRR(B3:B8)</f>
        <v>6.6965490735638511E-2</v>
      </c>
      <c r="C10" s="13" t="str">
        <f ca="1">getformula(B10)</f>
        <v>&lt;-- =IRR(B3:B8)</v>
      </c>
    </row>
    <row r="11" spans="1:7" x14ac:dyDescent="0.2">
      <c r="A11" s="18" t="s">
        <v>9</v>
      </c>
      <c r="B11" s="17"/>
      <c r="C11" s="17"/>
    </row>
    <row r="12" spans="1:7" x14ac:dyDescent="0.2">
      <c r="A12" s="13"/>
      <c r="B12" s="14">
        <f>B3+NPV(B10,B4:B8)</f>
        <v>0</v>
      </c>
      <c r="C12" s="13" t="str">
        <f ca="1">"&lt;-- "&amp;_xlfn.FORMULATEXT(B12)</f>
        <v>&lt;-- =B3+NPV(B10,B4:B8)</v>
      </c>
    </row>
    <row r="14" spans="1:7" ht="25.5" x14ac:dyDescent="0.2">
      <c r="A14" s="2" t="s">
        <v>10</v>
      </c>
      <c r="B14" s="2" t="s">
        <v>0</v>
      </c>
    </row>
    <row r="15" spans="1:7" x14ac:dyDescent="0.2">
      <c r="A15" s="3">
        <v>0</v>
      </c>
      <c r="B15" s="8">
        <f>$B$3+NPV(A15,$B$4:$B$8)</f>
        <v>200</v>
      </c>
      <c r="C15" t="str">
        <f ca="1">getformula(B15)</f>
        <v>&lt;-- =$B$3+NPV(A15,$B$4:$B$8)</v>
      </c>
    </row>
    <row r="16" spans="1:7" x14ac:dyDescent="0.2">
      <c r="A16" s="3">
        <v>0.01</v>
      </c>
      <c r="B16" s="8">
        <f t="shared" ref="B16:B31" si="0">$B$3+NPV(A16,$B$4:$B$8)</f>
        <v>165.85713038939468</v>
      </c>
      <c r="C16" t="str">
        <f ca="1">"&lt;-- "&amp;_xlfn.FORMULATEXT(B16)</f>
        <v>&lt;-- =$B$3+NPV(A16,$B$4:$B$8)</v>
      </c>
    </row>
    <row r="17" spans="1:2" x14ac:dyDescent="0.2">
      <c r="A17" s="3">
        <v>0.02</v>
      </c>
      <c r="B17" s="8">
        <f t="shared" si="0"/>
        <v>133.35959923698465</v>
      </c>
    </row>
    <row r="18" spans="1:2" x14ac:dyDescent="0.2">
      <c r="A18" s="3">
        <v>0.03</v>
      </c>
      <c r="B18" s="8">
        <f t="shared" si="0"/>
        <v>102.40949417564309</v>
      </c>
    </row>
    <row r="19" spans="1:2" x14ac:dyDescent="0.2">
      <c r="A19" s="3">
        <v>0.04</v>
      </c>
      <c r="B19" s="8">
        <f t="shared" si="0"/>
        <v>72.915729625928861</v>
      </c>
    </row>
    <row r="20" spans="1:2" x14ac:dyDescent="0.2">
      <c r="A20" s="3">
        <v>0.05</v>
      </c>
      <c r="B20" s="8">
        <f t="shared" si="0"/>
        <v>44.793505351606086</v>
      </c>
    </row>
    <row r="21" spans="1:2" x14ac:dyDescent="0.2">
      <c r="A21" s="3">
        <v>0.06</v>
      </c>
      <c r="B21" s="8">
        <f t="shared" si="0"/>
        <v>17.963812919427937</v>
      </c>
    </row>
    <row r="22" spans="1:2" x14ac:dyDescent="0.2">
      <c r="A22" s="3">
        <v>7.0000000000000007E-2</v>
      </c>
      <c r="B22" s="8">
        <f t="shared" si="0"/>
        <v>-7.6470145986324951</v>
      </c>
    </row>
    <row r="23" spans="1:2" x14ac:dyDescent="0.2">
      <c r="A23" s="3">
        <v>0.08</v>
      </c>
      <c r="B23" s="8">
        <f t="shared" si="0"/>
        <v>-32.107713848866752</v>
      </c>
    </row>
    <row r="24" spans="1:2" x14ac:dyDescent="0.2">
      <c r="A24" s="3">
        <v>0.09</v>
      </c>
      <c r="B24" s="8">
        <f t="shared" si="0"/>
        <v>-55.482467075945578</v>
      </c>
    </row>
    <row r="25" spans="1:2" x14ac:dyDescent="0.2">
      <c r="A25" s="3">
        <v>0.1</v>
      </c>
      <c r="B25" s="8">
        <f t="shared" si="0"/>
        <v>-77.831246002819171</v>
      </c>
    </row>
    <row r="26" spans="1:2" x14ac:dyDescent="0.2">
      <c r="A26" s="3">
        <v>0.11</v>
      </c>
      <c r="B26" s="8">
        <f t="shared" si="0"/>
        <v>-99.210126709294059</v>
      </c>
    </row>
    <row r="27" spans="1:2" x14ac:dyDescent="0.2">
      <c r="A27" s="3">
        <v>0.12</v>
      </c>
      <c r="B27" s="8">
        <f t="shared" si="0"/>
        <v>-119.671578202163</v>
      </c>
    </row>
    <row r="28" spans="1:2" x14ac:dyDescent="0.2">
      <c r="A28" s="3">
        <v>0.13</v>
      </c>
      <c r="B28" s="8">
        <f t="shared" si="0"/>
        <v>-139.26472709747384</v>
      </c>
    </row>
    <row r="29" spans="1:2" x14ac:dyDescent="0.2">
      <c r="A29" s="3">
        <v>0.14000000000000001</v>
      </c>
      <c r="B29" s="8">
        <f t="shared" si="0"/>
        <v>-158.03560059294614</v>
      </c>
    </row>
    <row r="30" spans="1:2" x14ac:dyDescent="0.2">
      <c r="A30" s="3">
        <v>0.15</v>
      </c>
      <c r="B30" s="8">
        <f t="shared" si="0"/>
        <v>-176.02734969220865</v>
      </c>
    </row>
    <row r="31" spans="1:2" x14ac:dyDescent="0.2">
      <c r="A31" s="3">
        <v>0.16</v>
      </c>
      <c r="B31" s="8">
        <f t="shared" si="0"/>
        <v>-193.28045444943132</v>
      </c>
    </row>
  </sheetData>
  <mergeCells count="1">
    <mergeCell ref="A1:G1"/>
  </mergeCells>
  <printOptions headings="1" gridLines="1"/>
  <pageMargins left="0.7" right="0.7" top="0.75" bottom="0.75" header="0.3" footer="0.3"/>
  <pageSetup orientation="portrait" verticalDpi="4"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G11"/>
  <sheetViews>
    <sheetView workbookViewId="0">
      <selection activeCell="C26" sqref="C26"/>
    </sheetView>
  </sheetViews>
  <sheetFormatPr defaultRowHeight="12.75" x14ac:dyDescent="0.2"/>
  <cols>
    <col min="3" max="3" width="27.5703125" customWidth="1"/>
  </cols>
  <sheetData>
    <row r="1" spans="1:7" ht="18" x14ac:dyDescent="0.25">
      <c r="A1" s="47" t="s">
        <v>8</v>
      </c>
      <c r="B1" s="47"/>
      <c r="C1" s="47"/>
      <c r="D1" s="47"/>
      <c r="E1" s="47"/>
      <c r="F1" s="47"/>
      <c r="G1" s="47"/>
    </row>
    <row r="2" spans="1:7" x14ac:dyDescent="0.2">
      <c r="A2" s="5" t="s">
        <v>2</v>
      </c>
      <c r="B2" s="5" t="s">
        <v>6</v>
      </c>
    </row>
    <row r="3" spans="1:7" x14ac:dyDescent="0.2">
      <c r="A3" s="1">
        <v>0</v>
      </c>
      <c r="B3" s="20">
        <v>-1000</v>
      </c>
    </row>
    <row r="4" spans="1:7" x14ac:dyDescent="0.2">
      <c r="A4" s="1">
        <v>1</v>
      </c>
      <c r="B4" s="20">
        <v>300</v>
      </c>
    </row>
    <row r="5" spans="1:7" x14ac:dyDescent="0.2">
      <c r="A5" s="1">
        <v>2</v>
      </c>
      <c r="B5" s="20">
        <v>300</v>
      </c>
    </row>
    <row r="6" spans="1:7" x14ac:dyDescent="0.2">
      <c r="A6" s="1">
        <v>3</v>
      </c>
      <c r="B6" s="20">
        <v>300</v>
      </c>
    </row>
    <row r="7" spans="1:7" x14ac:dyDescent="0.2">
      <c r="A7" s="1">
        <v>4</v>
      </c>
      <c r="B7" s="20">
        <v>300</v>
      </c>
    </row>
    <row r="9" spans="1:7" x14ac:dyDescent="0.2">
      <c r="A9" s="13" t="s">
        <v>1</v>
      </c>
      <c r="B9" s="10">
        <f>IRR(B3:B7)</f>
        <v>7.713847295204368E-2</v>
      </c>
      <c r="C9" s="13" t="str">
        <f ca="1">getformula(B9)</f>
        <v>&lt;-- =IRR(B3:B7)</v>
      </c>
    </row>
    <row r="10" spans="1:7" x14ac:dyDescent="0.2">
      <c r="A10" s="18" t="s">
        <v>9</v>
      </c>
      <c r="B10" s="17"/>
      <c r="C10" s="17"/>
    </row>
    <row r="11" spans="1:7" x14ac:dyDescent="0.2">
      <c r="A11" s="13"/>
      <c r="B11" s="14">
        <f>B3+NPV(B9,B4:B7)</f>
        <v>8.9130480773746967E-11</v>
      </c>
      <c r="C11" s="13" t="str">
        <f ca="1">"&lt;-- "&amp;_xlfn.FORMULATEXT(B11)</f>
        <v>&lt;-- =B3+NPV(B9,B4:B7)</v>
      </c>
    </row>
  </sheetData>
  <mergeCells count="1">
    <mergeCell ref="A1:G1"/>
  </mergeCells>
  <printOptions headings="1" gridLines="1"/>
  <pageMargins left="0.7" right="0.7" top="0.75" bottom="0.75" header="0.3" footer="0.3"/>
  <pageSetup orientation="portrait" verticalDpi="4"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Q13"/>
  <sheetViews>
    <sheetView workbookViewId="0">
      <selection activeCell="L19" sqref="L19"/>
    </sheetView>
  </sheetViews>
  <sheetFormatPr defaultRowHeight="12.75" x14ac:dyDescent="0.2"/>
  <cols>
    <col min="2" max="2" width="15.28515625" customWidth="1"/>
    <col min="3" max="3" width="14.42578125" customWidth="1"/>
    <col min="4" max="4" width="14.28515625" bestFit="1" customWidth="1"/>
  </cols>
  <sheetData>
    <row r="1" spans="1:17" ht="35.65" customHeight="1" x14ac:dyDescent="0.2">
      <c r="A1" s="48" t="s">
        <v>11</v>
      </c>
      <c r="B1" s="48"/>
      <c r="C1" s="48"/>
      <c r="D1" s="48"/>
    </row>
    <row r="2" spans="1:17" s="2" customFormat="1" ht="25.5" x14ac:dyDescent="0.2">
      <c r="A2" s="2" t="s">
        <v>2</v>
      </c>
      <c r="B2" s="2" t="s">
        <v>12</v>
      </c>
      <c r="C2" s="2" t="s">
        <v>13</v>
      </c>
    </row>
    <row r="3" spans="1:17" x14ac:dyDescent="0.2">
      <c r="A3" s="1">
        <v>0</v>
      </c>
      <c r="B3" s="20">
        <v>-1000</v>
      </c>
      <c r="C3" s="20">
        <v>-1000</v>
      </c>
    </row>
    <row r="4" spans="1:17" x14ac:dyDescent="0.2">
      <c r="A4" s="1">
        <v>1</v>
      </c>
      <c r="B4">
        <v>450</v>
      </c>
      <c r="C4">
        <v>550</v>
      </c>
    </row>
    <row r="5" spans="1:17" x14ac:dyDescent="0.2">
      <c r="A5" s="1">
        <v>2</v>
      </c>
      <c r="B5">
        <v>425</v>
      </c>
      <c r="C5">
        <v>300</v>
      </c>
    </row>
    <row r="6" spans="1:17" x14ac:dyDescent="0.2">
      <c r="A6" s="1">
        <v>3</v>
      </c>
      <c r="B6">
        <v>350</v>
      </c>
      <c r="C6">
        <v>457</v>
      </c>
    </row>
    <row r="7" spans="1:17" x14ac:dyDescent="0.2">
      <c r="A7" s="1">
        <v>4</v>
      </c>
      <c r="B7">
        <v>450</v>
      </c>
      <c r="C7">
        <v>200</v>
      </c>
    </row>
    <row r="9" spans="1:17" x14ac:dyDescent="0.2">
      <c r="A9" s="21" t="s">
        <v>1</v>
      </c>
      <c r="B9" s="10">
        <f>IRR(B3:B7)</f>
        <v>0.24743976038028581</v>
      </c>
      <c r="C9" s="10">
        <f>IRR(C3:C7)</f>
        <v>0.21650722881765838</v>
      </c>
      <c r="D9" t="str">
        <f ca="1">"&lt;-- "&amp;_xlfn.FORMULATEXT(C9)</f>
        <v>&lt;-- =IRR(C3:C7)</v>
      </c>
    </row>
    <row r="11" spans="1:17" ht="15" x14ac:dyDescent="0.2">
      <c r="A11" s="54" t="s">
        <v>68</v>
      </c>
      <c r="B11" s="54"/>
      <c r="C11" s="54"/>
      <c r="D11" s="54"/>
      <c r="E11" s="54"/>
      <c r="F11" s="54"/>
      <c r="G11" s="54"/>
      <c r="H11" s="54"/>
      <c r="I11" s="54"/>
      <c r="J11" s="54"/>
      <c r="K11" s="54"/>
      <c r="L11" s="54"/>
      <c r="M11" s="54"/>
      <c r="N11" s="54"/>
      <c r="O11" s="13"/>
      <c r="P11" s="13"/>
      <c r="Q11" s="13"/>
    </row>
    <row r="12" spans="1:17" ht="15" x14ac:dyDescent="0.2">
      <c r="A12" s="54" t="s">
        <v>69</v>
      </c>
      <c r="B12" s="54"/>
      <c r="C12" s="54"/>
      <c r="D12" s="54"/>
      <c r="E12" s="54"/>
      <c r="F12" s="54"/>
      <c r="G12" s="54"/>
      <c r="H12" s="54"/>
      <c r="I12" s="54"/>
      <c r="J12" s="54"/>
      <c r="K12" s="54"/>
      <c r="L12" s="54"/>
      <c r="M12" s="54"/>
      <c r="N12" s="54"/>
      <c r="O12" s="13"/>
      <c r="P12" s="13"/>
      <c r="Q12" s="13"/>
    </row>
    <row r="13" spans="1:17" ht="15" x14ac:dyDescent="0.2">
      <c r="A13" s="54" t="s">
        <v>70</v>
      </c>
      <c r="B13" s="54"/>
      <c r="C13" s="54"/>
      <c r="D13" s="54"/>
      <c r="E13" s="54"/>
      <c r="F13" s="54"/>
      <c r="G13" s="54"/>
      <c r="H13" s="54"/>
      <c r="I13" s="54"/>
      <c r="J13" s="54"/>
      <c r="K13" s="54"/>
      <c r="L13" s="54"/>
      <c r="M13" s="54"/>
      <c r="N13" s="54"/>
      <c r="O13" s="13"/>
      <c r="P13" s="13"/>
      <c r="Q13" s="13"/>
    </row>
  </sheetData>
  <mergeCells count="1">
    <mergeCell ref="A1:D1"/>
  </mergeCells>
  <printOptions headings="1" gridLines="1"/>
  <pageMargins left="0.7" right="0.7" top="0.75" bottom="0.75" header="0.3" footer="0.3"/>
  <pageSetup orientation="portrait" verticalDpi="4"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8"/>
  <sheetViews>
    <sheetView workbookViewId="0">
      <selection activeCell="F17" sqref="F17"/>
    </sheetView>
  </sheetViews>
  <sheetFormatPr defaultRowHeight="12.75" x14ac:dyDescent="0.2"/>
  <cols>
    <col min="1" max="3" width="13.28515625" customWidth="1"/>
    <col min="4" max="4" width="24" bestFit="1" customWidth="1"/>
    <col min="6" max="6" width="31.140625" customWidth="1"/>
    <col min="7" max="8" width="19.5703125" customWidth="1"/>
  </cols>
  <sheetData>
    <row r="1" spans="1:14" ht="18" x14ac:dyDescent="0.25">
      <c r="A1" s="47" t="s">
        <v>14</v>
      </c>
      <c r="B1" s="47"/>
      <c r="C1" s="47"/>
      <c r="D1" s="47"/>
    </row>
    <row r="2" spans="1:14" s="53" customFormat="1" ht="15" x14ac:dyDescent="0.2">
      <c r="A2" s="53" t="s">
        <v>3</v>
      </c>
      <c r="B2" s="55">
        <v>0.12</v>
      </c>
    </row>
    <row r="3" spans="1:14" s="53" customFormat="1" ht="15" x14ac:dyDescent="0.2"/>
    <row r="4" spans="1:14" s="53" customFormat="1" ht="15.75" x14ac:dyDescent="0.25">
      <c r="A4" s="56" t="s">
        <v>2</v>
      </c>
      <c r="B4" s="56" t="s">
        <v>15</v>
      </c>
      <c r="C4" s="56" t="s">
        <v>16</v>
      </c>
      <c r="F4" s="53" t="s">
        <v>73</v>
      </c>
      <c r="G4" s="56" t="s">
        <v>15</v>
      </c>
      <c r="H4" s="56" t="s">
        <v>16</v>
      </c>
    </row>
    <row r="5" spans="1:14" s="53" customFormat="1" ht="15" x14ac:dyDescent="0.2">
      <c r="A5" s="57">
        <v>0</v>
      </c>
      <c r="B5" s="58">
        <v>-1000</v>
      </c>
      <c r="C5" s="58">
        <v>-800</v>
      </c>
      <c r="F5" s="53" t="s">
        <v>74</v>
      </c>
      <c r="G5" s="57" t="s">
        <v>75</v>
      </c>
      <c r="H5" s="57" t="s">
        <v>75</v>
      </c>
    </row>
    <row r="6" spans="1:14" s="53" customFormat="1" ht="15" x14ac:dyDescent="0.2">
      <c r="A6" s="57">
        <v>1</v>
      </c>
      <c r="B6" s="58">
        <v>500</v>
      </c>
      <c r="C6" s="58">
        <v>420</v>
      </c>
      <c r="F6" s="53" t="s">
        <v>76</v>
      </c>
      <c r="G6" s="57" t="s">
        <v>78</v>
      </c>
      <c r="H6" s="57"/>
    </row>
    <row r="7" spans="1:14" s="53" customFormat="1" ht="15" x14ac:dyDescent="0.2">
      <c r="A7" s="57">
        <v>2</v>
      </c>
      <c r="B7" s="58">
        <v>500</v>
      </c>
      <c r="C7" s="58">
        <v>420</v>
      </c>
      <c r="F7" s="53" t="s">
        <v>77</v>
      </c>
      <c r="G7" s="57"/>
      <c r="H7" s="57" t="s">
        <v>79</v>
      </c>
    </row>
    <row r="8" spans="1:14" s="53" customFormat="1" ht="15" x14ac:dyDescent="0.2">
      <c r="A8" s="57">
        <v>3</v>
      </c>
      <c r="B8" s="58">
        <v>500</v>
      </c>
      <c r="C8" s="58">
        <v>420</v>
      </c>
    </row>
    <row r="9" spans="1:14" s="53" customFormat="1" ht="15" x14ac:dyDescent="0.2">
      <c r="A9" s="57">
        <v>4</v>
      </c>
      <c r="B9" s="58">
        <v>500</v>
      </c>
      <c r="C9" s="58">
        <v>420</v>
      </c>
      <c r="F9" s="62" t="s">
        <v>80</v>
      </c>
      <c r="G9" s="62" t="s">
        <v>81</v>
      </c>
      <c r="H9" s="62"/>
      <c r="I9" s="62"/>
      <c r="J9" s="62"/>
      <c r="K9" s="62"/>
      <c r="L9" s="62"/>
      <c r="M9" s="62"/>
    </row>
    <row r="10" spans="1:14" s="53" customFormat="1" ht="15" x14ac:dyDescent="0.2">
      <c r="A10" s="57">
        <v>5</v>
      </c>
      <c r="B10" s="58">
        <v>500</v>
      </c>
      <c r="C10" s="58">
        <v>420</v>
      </c>
    </row>
    <row r="11" spans="1:14" s="53" customFormat="1" ht="15" x14ac:dyDescent="0.2">
      <c r="B11" s="58"/>
      <c r="C11" s="58"/>
    </row>
    <row r="12" spans="1:14" s="53" customFormat="1" ht="15" x14ac:dyDescent="0.2">
      <c r="A12" s="54" t="s">
        <v>0</v>
      </c>
      <c r="B12" s="59">
        <f>B5+NPV($B$2,B6:B10)</f>
        <v>802.38810117250205</v>
      </c>
      <c r="C12" s="59">
        <f>C5+NPV($B$2,C6:C10)</f>
        <v>714.00600498490167</v>
      </c>
      <c r="D12" s="53" t="str">
        <f ca="1">getformula(C12)</f>
        <v>&lt;-- =C5+NPV($B$2,C6:C10)</v>
      </c>
    </row>
    <row r="13" spans="1:14" s="53" customFormat="1" ht="15" x14ac:dyDescent="0.2"/>
    <row r="14" spans="1:14" s="53" customFormat="1" ht="15" x14ac:dyDescent="0.2">
      <c r="A14" s="54" t="s">
        <v>1</v>
      </c>
      <c r="B14" s="61">
        <f>IRR(B5:B10)</f>
        <v>0.41041496500867924</v>
      </c>
      <c r="C14" s="61">
        <f>IRR(C5:C10)</f>
        <v>0.44029693630616085</v>
      </c>
      <c r="D14" s="53" t="str">
        <f ca="1">getformula(C14)</f>
        <v>&lt;-- =IRR(C5:C10)</v>
      </c>
    </row>
    <row r="15" spans="1:14" s="53" customFormat="1" ht="15" x14ac:dyDescent="0.2"/>
    <row r="16" spans="1:14" s="53" customFormat="1" ht="15" x14ac:dyDescent="0.2">
      <c r="A16" s="62" t="s">
        <v>71</v>
      </c>
      <c r="B16" s="62"/>
      <c r="C16" s="62"/>
      <c r="D16" s="62"/>
      <c r="E16" s="62"/>
      <c r="F16" s="62"/>
      <c r="G16" s="62"/>
      <c r="H16" s="62"/>
      <c r="I16" s="62"/>
      <c r="J16" s="62"/>
      <c r="K16" s="62"/>
      <c r="L16" s="62"/>
      <c r="M16" s="62"/>
      <c r="N16" s="62"/>
    </row>
    <row r="17" spans="1:14" s="53" customFormat="1" ht="15" x14ac:dyDescent="0.2">
      <c r="A17" s="62" t="s">
        <v>72</v>
      </c>
      <c r="B17" s="62"/>
      <c r="C17" s="62"/>
      <c r="D17" s="62"/>
      <c r="E17" s="62"/>
      <c r="F17" s="62"/>
      <c r="G17" s="62"/>
      <c r="H17" s="62"/>
      <c r="I17" s="62"/>
      <c r="J17" s="62"/>
      <c r="K17" s="62"/>
      <c r="L17" s="62"/>
      <c r="M17" s="62"/>
      <c r="N17" s="62"/>
    </row>
    <row r="18" spans="1:14" s="53" customFormat="1" ht="15" x14ac:dyDescent="0.2"/>
  </sheetData>
  <mergeCells count="1">
    <mergeCell ref="A1:D1"/>
  </mergeCells>
  <printOptions headings="1" gridLines="1"/>
  <pageMargins left="0.7" right="0.7" top="0.75" bottom="0.75" header="0.3" footer="0.3"/>
  <pageSetup orientation="portrait" verticalDpi="4"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2"/>
  <sheetViews>
    <sheetView workbookViewId="0">
      <selection activeCell="F24" sqref="F24"/>
    </sheetView>
  </sheetViews>
  <sheetFormatPr defaultRowHeight="12.75" x14ac:dyDescent="0.2"/>
  <cols>
    <col min="1" max="1" width="13.28515625" bestFit="1" customWidth="1"/>
    <col min="3" max="3" width="9.42578125" bestFit="1" customWidth="1"/>
    <col min="4" max="4" width="24" bestFit="1" customWidth="1"/>
  </cols>
  <sheetData>
    <row r="1" spans="1:4" ht="18" x14ac:dyDescent="0.25">
      <c r="A1" s="47" t="s">
        <v>14</v>
      </c>
      <c r="B1" s="47"/>
      <c r="C1" s="47"/>
      <c r="D1" s="47"/>
    </row>
    <row r="2" spans="1:4" x14ac:dyDescent="0.2">
      <c r="A2" s="11" t="s">
        <v>3</v>
      </c>
      <c r="B2" s="6">
        <v>0.12</v>
      </c>
    </row>
    <row r="4" spans="1:4" x14ac:dyDescent="0.2">
      <c r="A4" s="5" t="s">
        <v>2</v>
      </c>
      <c r="B4" s="5" t="s">
        <v>15</v>
      </c>
      <c r="C4" s="5" t="s">
        <v>16</v>
      </c>
    </row>
    <row r="5" spans="1:4" x14ac:dyDescent="0.2">
      <c r="A5" s="1">
        <v>0</v>
      </c>
      <c r="B5" s="20">
        <v>-1000</v>
      </c>
      <c r="C5" s="20">
        <v>-800</v>
      </c>
    </row>
    <row r="6" spans="1:4" x14ac:dyDescent="0.2">
      <c r="A6" s="1">
        <v>1</v>
      </c>
      <c r="B6" s="20">
        <v>500</v>
      </c>
      <c r="C6" s="20">
        <v>420</v>
      </c>
    </row>
    <row r="7" spans="1:4" x14ac:dyDescent="0.2">
      <c r="A7" s="1">
        <v>2</v>
      </c>
      <c r="B7" s="20">
        <v>500</v>
      </c>
      <c r="C7" s="20">
        <v>420</v>
      </c>
    </row>
    <row r="8" spans="1:4" x14ac:dyDescent="0.2">
      <c r="A8" s="1">
        <v>3</v>
      </c>
      <c r="B8" s="20">
        <v>500</v>
      </c>
      <c r="C8" s="20">
        <v>420</v>
      </c>
    </row>
    <row r="9" spans="1:4" x14ac:dyDescent="0.2">
      <c r="A9" s="1">
        <v>4</v>
      </c>
      <c r="B9" s="20">
        <v>500</v>
      </c>
      <c r="C9" s="20">
        <v>420</v>
      </c>
    </row>
    <row r="10" spans="1:4" x14ac:dyDescent="0.2">
      <c r="A10" s="1">
        <v>5</v>
      </c>
      <c r="B10" s="20">
        <v>500</v>
      </c>
      <c r="C10" s="20">
        <v>420</v>
      </c>
    </row>
    <row r="11" spans="1:4" x14ac:dyDescent="0.2">
      <c r="B11" s="20"/>
      <c r="C11" s="20"/>
    </row>
    <row r="12" spans="1:4" x14ac:dyDescent="0.2">
      <c r="A12" s="21" t="s">
        <v>1</v>
      </c>
      <c r="B12" s="9">
        <f>IRR(B5:B10)</f>
        <v>0.41041496500867924</v>
      </c>
      <c r="C12" s="9">
        <f>IRR(C5:C10)</f>
        <v>0.44029693630616085</v>
      </c>
      <c r="D12" t="str">
        <f ca="1">getformula(C12)</f>
        <v>&lt;-- =IRR(C5:C10)</v>
      </c>
    </row>
  </sheetData>
  <mergeCells count="1">
    <mergeCell ref="A1:D1"/>
  </mergeCells>
  <printOptions headings="1" gridLines="1"/>
  <pageMargins left="0.7" right="0.7" top="0.75" bottom="0.75" header="0.3" footer="0.3"/>
  <pageSetup orientation="portrait" verticalDpi="4"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42"/>
  <sheetViews>
    <sheetView workbookViewId="0">
      <selection activeCell="G18" sqref="G18"/>
    </sheetView>
  </sheetViews>
  <sheetFormatPr defaultRowHeight="12.75" x14ac:dyDescent="0.2"/>
  <cols>
    <col min="1" max="1" width="16.5703125" customWidth="1"/>
    <col min="2" max="3" width="18.28515625" customWidth="1"/>
    <col min="4" max="4" width="23.85546875" bestFit="1" customWidth="1"/>
    <col min="6" max="6" width="22.28515625" customWidth="1"/>
  </cols>
  <sheetData>
    <row r="1" spans="1:21" ht="15.75" x14ac:dyDescent="0.25">
      <c r="A1" s="63" t="s">
        <v>17</v>
      </c>
      <c r="B1" s="63"/>
      <c r="C1" s="63"/>
      <c r="D1" s="63"/>
      <c r="E1" s="53"/>
      <c r="F1" s="53"/>
      <c r="G1" s="53"/>
      <c r="H1" s="53"/>
      <c r="I1" s="53"/>
      <c r="J1" s="53"/>
      <c r="K1" s="53"/>
      <c r="L1" s="53"/>
      <c r="M1" s="53"/>
      <c r="N1" s="53"/>
      <c r="O1" s="53"/>
      <c r="P1" s="53"/>
      <c r="Q1" s="53"/>
      <c r="R1" s="53"/>
      <c r="S1" s="53"/>
      <c r="T1" s="53"/>
      <c r="U1" s="53"/>
    </row>
    <row r="2" spans="1:21" ht="15" x14ac:dyDescent="0.2">
      <c r="A2" s="53" t="s">
        <v>3</v>
      </c>
      <c r="B2" s="55">
        <v>0.05</v>
      </c>
      <c r="C2" s="53"/>
      <c r="D2" s="53"/>
      <c r="E2" s="53"/>
      <c r="F2" s="53"/>
      <c r="G2" s="53"/>
      <c r="H2" s="53"/>
      <c r="I2" s="53"/>
      <c r="J2" s="53"/>
      <c r="K2" s="53"/>
      <c r="L2" s="53"/>
      <c r="M2" s="53"/>
      <c r="N2" s="53"/>
      <c r="O2" s="53"/>
      <c r="P2" s="53"/>
      <c r="Q2" s="53"/>
      <c r="R2" s="53"/>
      <c r="S2" s="53"/>
      <c r="T2" s="53"/>
      <c r="U2" s="53"/>
    </row>
    <row r="3" spans="1:21" ht="15" x14ac:dyDescent="0.2">
      <c r="A3" s="53"/>
      <c r="B3" s="53"/>
      <c r="C3" s="53"/>
      <c r="D3" s="53"/>
      <c r="E3" s="53"/>
      <c r="F3" s="53"/>
      <c r="G3" s="53"/>
      <c r="H3" s="53"/>
      <c r="I3" s="53"/>
      <c r="J3" s="53"/>
      <c r="K3" s="53"/>
      <c r="L3" s="53"/>
      <c r="M3" s="53"/>
      <c r="N3" s="53"/>
      <c r="O3" s="53"/>
      <c r="P3" s="53"/>
      <c r="Q3" s="53"/>
      <c r="R3" s="53"/>
      <c r="S3" s="53"/>
      <c r="T3" s="53"/>
      <c r="U3" s="53"/>
    </row>
    <row r="4" spans="1:21" ht="15.75" x14ac:dyDescent="0.25">
      <c r="A4" s="56" t="s">
        <v>2</v>
      </c>
      <c r="B4" s="64" t="s">
        <v>15</v>
      </c>
      <c r="C4" s="64" t="s">
        <v>16</v>
      </c>
      <c r="D4" s="53"/>
      <c r="E4" s="53"/>
      <c r="F4" s="57" t="s">
        <v>86</v>
      </c>
      <c r="G4" s="53"/>
      <c r="H4" s="53"/>
      <c r="I4" s="53"/>
      <c r="J4" s="53"/>
      <c r="K4" s="53"/>
      <c r="L4" s="53"/>
      <c r="M4" s="53"/>
      <c r="N4" s="53"/>
      <c r="O4" s="53"/>
      <c r="P4" s="53"/>
      <c r="Q4" s="53"/>
      <c r="R4" s="53"/>
      <c r="S4" s="53"/>
      <c r="T4" s="53"/>
      <c r="U4" s="53"/>
    </row>
    <row r="5" spans="1:21" ht="15" x14ac:dyDescent="0.2">
      <c r="A5" s="57">
        <v>0</v>
      </c>
      <c r="B5" s="53">
        <v>-500</v>
      </c>
      <c r="C5" s="53">
        <v>-650</v>
      </c>
      <c r="D5" s="53"/>
      <c r="E5" s="53"/>
      <c r="F5" s="53">
        <f>C5-B5</f>
        <v>-150</v>
      </c>
      <c r="G5" s="53"/>
      <c r="H5" s="53"/>
      <c r="I5" s="53"/>
      <c r="J5" s="53"/>
      <c r="K5" s="53"/>
      <c r="L5" s="53"/>
      <c r="M5" s="53"/>
      <c r="N5" s="53"/>
      <c r="O5" s="53"/>
      <c r="P5" s="53"/>
      <c r="Q5" s="53"/>
      <c r="R5" s="53"/>
      <c r="S5" s="53"/>
      <c r="T5" s="53"/>
      <c r="U5" s="53"/>
    </row>
    <row r="6" spans="1:21" ht="15" x14ac:dyDescent="0.2">
      <c r="A6" s="57">
        <v>1</v>
      </c>
      <c r="B6" s="53">
        <v>125</v>
      </c>
      <c r="C6" s="53">
        <v>106</v>
      </c>
      <c r="D6" s="53"/>
      <c r="E6" s="53"/>
      <c r="F6" s="53">
        <f t="shared" ref="F6:F10" si="0">C6-B6</f>
        <v>-19</v>
      </c>
      <c r="G6" s="53"/>
      <c r="H6" s="53"/>
      <c r="I6" s="53"/>
      <c r="J6" s="53"/>
      <c r="K6" s="53"/>
      <c r="L6" s="53"/>
      <c r="M6" s="53"/>
      <c r="N6" s="53"/>
      <c r="O6" s="53"/>
      <c r="P6" s="53"/>
      <c r="Q6" s="53"/>
      <c r="R6" s="53"/>
      <c r="S6" s="53"/>
      <c r="T6" s="53"/>
      <c r="U6" s="53"/>
    </row>
    <row r="7" spans="1:21" ht="15" x14ac:dyDescent="0.2">
      <c r="A7" s="57">
        <v>2</v>
      </c>
      <c r="B7" s="53">
        <v>100</v>
      </c>
      <c r="C7" s="53">
        <v>105</v>
      </c>
      <c r="D7" s="53"/>
      <c r="E7" s="53"/>
      <c r="F7" s="53">
        <f t="shared" si="0"/>
        <v>5</v>
      </c>
      <c r="G7" s="53"/>
      <c r="H7" s="53"/>
      <c r="I7" s="53"/>
      <c r="J7" s="53"/>
      <c r="K7" s="53"/>
      <c r="L7" s="53"/>
      <c r="M7" s="53"/>
      <c r="N7" s="53"/>
      <c r="O7" s="53"/>
      <c r="P7" s="53"/>
      <c r="Q7" s="53"/>
      <c r="R7" s="53"/>
      <c r="S7" s="53"/>
      <c r="T7" s="53"/>
      <c r="U7" s="53"/>
    </row>
    <row r="8" spans="1:21" ht="15" x14ac:dyDescent="0.2">
      <c r="A8" s="57">
        <v>3</v>
      </c>
      <c r="B8" s="53">
        <v>100</v>
      </c>
      <c r="C8" s="53">
        <v>105</v>
      </c>
      <c r="D8" s="53"/>
      <c r="E8" s="53"/>
      <c r="F8" s="53">
        <f t="shared" si="0"/>
        <v>5</v>
      </c>
      <c r="G8" s="53"/>
      <c r="H8" s="53"/>
      <c r="I8" s="53"/>
      <c r="J8" s="53"/>
      <c r="K8" s="53"/>
      <c r="L8" s="53"/>
      <c r="M8" s="53"/>
      <c r="N8" s="53"/>
      <c r="O8" s="53"/>
      <c r="P8" s="53"/>
      <c r="Q8" s="53"/>
      <c r="R8" s="53"/>
      <c r="S8" s="53"/>
      <c r="T8" s="53"/>
      <c r="U8" s="53"/>
    </row>
    <row r="9" spans="1:21" ht="15" x14ac:dyDescent="0.2">
      <c r="A9" s="57">
        <v>4</v>
      </c>
      <c r="B9" s="53">
        <v>100</v>
      </c>
      <c r="C9" s="53">
        <v>105</v>
      </c>
      <c r="D9" s="53"/>
      <c r="E9" s="53"/>
      <c r="F9" s="53">
        <f t="shared" si="0"/>
        <v>5</v>
      </c>
      <c r="G9" s="53"/>
      <c r="H9" s="53"/>
      <c r="I9" s="53"/>
      <c r="J9" s="53"/>
      <c r="K9" s="53"/>
      <c r="L9" s="53"/>
      <c r="M9" s="53"/>
      <c r="N9" s="53"/>
      <c r="O9" s="53"/>
      <c r="P9" s="53"/>
      <c r="Q9" s="53"/>
      <c r="R9" s="53"/>
      <c r="S9" s="53"/>
      <c r="T9" s="53"/>
      <c r="U9" s="53"/>
    </row>
    <row r="10" spans="1:21" ht="15" x14ac:dyDescent="0.2">
      <c r="A10" s="57">
        <v>5</v>
      </c>
      <c r="B10" s="53">
        <v>220</v>
      </c>
      <c r="C10" s="53">
        <v>425</v>
      </c>
      <c r="D10" s="53"/>
      <c r="E10" s="53"/>
      <c r="F10" s="53">
        <f t="shared" si="0"/>
        <v>205</v>
      </c>
      <c r="G10" s="53"/>
      <c r="H10" s="53"/>
      <c r="I10" s="53"/>
      <c r="J10" s="53"/>
      <c r="K10" s="53"/>
      <c r="L10" s="53"/>
      <c r="M10" s="53"/>
      <c r="N10" s="53"/>
      <c r="O10" s="53"/>
      <c r="P10" s="53"/>
      <c r="Q10" s="53"/>
      <c r="R10" s="53"/>
      <c r="S10" s="53"/>
      <c r="T10" s="53"/>
      <c r="U10" s="53"/>
    </row>
    <row r="11" spans="1:21" ht="15" x14ac:dyDescent="0.2">
      <c r="A11" s="53"/>
      <c r="B11" s="53"/>
      <c r="C11" s="53"/>
      <c r="D11" s="53"/>
      <c r="E11" s="53"/>
      <c r="F11" s="53"/>
      <c r="G11" s="53"/>
      <c r="H11" s="53"/>
      <c r="I11" s="53"/>
      <c r="J11" s="53"/>
      <c r="K11" s="53"/>
      <c r="L11" s="53"/>
      <c r="M11" s="53"/>
      <c r="N11" s="53"/>
      <c r="O11" s="53"/>
      <c r="P11" s="53"/>
      <c r="Q11" s="53"/>
      <c r="R11" s="53"/>
      <c r="S11" s="53"/>
      <c r="T11" s="53"/>
      <c r="U11" s="53"/>
    </row>
    <row r="12" spans="1:21" ht="15" x14ac:dyDescent="0.2">
      <c r="A12" s="54" t="s">
        <v>0</v>
      </c>
      <c r="B12" s="59">
        <f>B5+NPV($B$2,B6:B10)</f>
        <v>50.780330848820768</v>
      </c>
      <c r="C12" s="59">
        <f>C5+NPV($B$2,C6:C10)</f>
        <v>56.275804638523823</v>
      </c>
      <c r="D12" s="53" t="str">
        <f ca="1">getformula(C12)</f>
        <v>&lt;-- =C5+NPV($B$2,C6:C10)</v>
      </c>
      <c r="E12" s="53"/>
      <c r="F12" s="53"/>
      <c r="G12" s="53"/>
      <c r="H12" s="53"/>
      <c r="I12" s="53"/>
      <c r="J12" s="53"/>
      <c r="K12" s="53"/>
      <c r="L12" s="53"/>
      <c r="M12" s="53"/>
      <c r="N12" s="53"/>
      <c r="O12" s="53"/>
      <c r="P12" s="53"/>
      <c r="Q12" s="53"/>
      <c r="R12" s="53"/>
      <c r="S12" s="53"/>
      <c r="T12" s="53"/>
      <c r="U12" s="53"/>
    </row>
    <row r="13" spans="1:21" ht="15" x14ac:dyDescent="0.2">
      <c r="A13" s="54" t="s">
        <v>1</v>
      </c>
      <c r="B13" s="61">
        <f>IRR(B5:B10)</f>
        <v>8.2834549369256605E-2</v>
      </c>
      <c r="C13" s="61">
        <f>IRR(C5:C10)</f>
        <v>7.4376286804165082E-2</v>
      </c>
      <c r="D13" s="53" t="str">
        <f ca="1">getformula(C13)</f>
        <v>&lt;-- =IRR(C5:C10)</v>
      </c>
      <c r="E13" s="53"/>
      <c r="F13" s="65">
        <f>IRR(F5:F10)</f>
        <v>5.7150869873688892E-2</v>
      </c>
      <c r="G13" s="62" t="s">
        <v>87</v>
      </c>
      <c r="H13" s="62"/>
      <c r="I13" s="62"/>
      <c r="J13" s="62"/>
      <c r="K13" s="53"/>
      <c r="L13" s="53"/>
      <c r="M13" s="53"/>
      <c r="N13" s="53"/>
      <c r="O13" s="53"/>
      <c r="P13" s="53"/>
      <c r="Q13" s="53"/>
      <c r="R13" s="53"/>
      <c r="S13" s="53"/>
      <c r="T13" s="53"/>
      <c r="U13" s="53"/>
    </row>
    <row r="14" spans="1:21" ht="15" x14ac:dyDescent="0.2">
      <c r="A14" s="53"/>
      <c r="B14" s="53"/>
      <c r="C14" s="53"/>
      <c r="D14" s="53"/>
      <c r="E14" s="53"/>
      <c r="F14" s="53"/>
      <c r="G14" s="53"/>
      <c r="H14" s="53"/>
      <c r="I14" s="53"/>
      <c r="J14" s="53"/>
      <c r="K14" s="53"/>
      <c r="L14" s="53"/>
      <c r="M14" s="53"/>
      <c r="N14" s="53"/>
      <c r="O14" s="53"/>
      <c r="P14" s="53"/>
      <c r="Q14" s="53"/>
      <c r="R14" s="53"/>
      <c r="S14" s="53"/>
      <c r="T14" s="53"/>
      <c r="U14" s="53"/>
    </row>
    <row r="15" spans="1:21" ht="15" x14ac:dyDescent="0.2">
      <c r="A15" s="53" t="s">
        <v>84</v>
      </c>
      <c r="B15" s="53"/>
      <c r="C15" s="53"/>
      <c r="D15" s="53"/>
      <c r="E15" s="53"/>
      <c r="F15" s="53"/>
      <c r="G15" s="53"/>
      <c r="H15" s="53"/>
      <c r="I15" s="53"/>
      <c r="J15" s="53"/>
      <c r="K15" s="53"/>
      <c r="L15" s="53"/>
      <c r="M15" s="53"/>
      <c r="N15" s="53"/>
      <c r="O15" s="53"/>
      <c r="P15" s="53"/>
      <c r="Q15" s="53"/>
      <c r="R15" s="53"/>
      <c r="S15" s="53"/>
      <c r="T15" s="53"/>
      <c r="U15" s="53"/>
    </row>
    <row r="16" spans="1:21" ht="15" x14ac:dyDescent="0.2">
      <c r="A16" s="53" t="s">
        <v>82</v>
      </c>
      <c r="B16" s="53"/>
      <c r="C16" s="53"/>
      <c r="D16" s="53"/>
      <c r="E16" s="53"/>
      <c r="F16" s="53"/>
      <c r="G16" s="53"/>
      <c r="H16" s="53"/>
      <c r="I16" s="53"/>
      <c r="J16" s="53"/>
      <c r="K16" s="53"/>
      <c r="L16" s="53"/>
      <c r="M16" s="53"/>
      <c r="N16" s="53"/>
      <c r="O16" s="53"/>
      <c r="P16" s="53"/>
      <c r="Q16" s="53"/>
      <c r="R16" s="53"/>
      <c r="S16" s="53"/>
      <c r="T16" s="53"/>
      <c r="U16" s="53"/>
    </row>
    <row r="17" spans="1:21" ht="15" x14ac:dyDescent="0.2">
      <c r="A17" s="53" t="s">
        <v>83</v>
      </c>
      <c r="B17" s="53"/>
      <c r="C17" s="53"/>
      <c r="D17" s="53"/>
      <c r="E17" s="53"/>
      <c r="F17" s="53"/>
      <c r="G17" s="53"/>
      <c r="H17" s="53"/>
      <c r="I17" s="53"/>
      <c r="J17" s="53"/>
      <c r="K17" s="53"/>
      <c r="L17" s="53"/>
      <c r="M17" s="53"/>
      <c r="N17" s="53"/>
      <c r="O17" s="53"/>
      <c r="P17" s="53"/>
      <c r="Q17" s="53"/>
      <c r="R17" s="53"/>
      <c r="S17" s="53"/>
      <c r="T17" s="53"/>
      <c r="U17" s="53"/>
    </row>
    <row r="18" spans="1:21" ht="15" x14ac:dyDescent="0.2">
      <c r="A18" s="53" t="s">
        <v>85</v>
      </c>
      <c r="B18" s="53"/>
      <c r="C18" s="53"/>
      <c r="D18" s="53"/>
      <c r="E18" s="53"/>
      <c r="F18" s="53"/>
      <c r="G18" s="53"/>
      <c r="H18" s="53"/>
      <c r="I18" s="53"/>
      <c r="J18" s="53"/>
      <c r="K18" s="53"/>
      <c r="L18" s="53"/>
      <c r="M18" s="53"/>
      <c r="N18" s="53"/>
      <c r="O18" s="53"/>
      <c r="P18" s="53"/>
      <c r="Q18" s="53"/>
      <c r="R18" s="53"/>
      <c r="S18" s="53"/>
      <c r="T18" s="53"/>
      <c r="U18" s="53"/>
    </row>
    <row r="19" spans="1:21" ht="15" x14ac:dyDescent="0.2">
      <c r="A19" s="53"/>
      <c r="B19" s="53"/>
      <c r="C19" s="53"/>
      <c r="D19" s="53"/>
      <c r="E19" s="53"/>
      <c r="F19" s="53"/>
      <c r="G19" s="53"/>
      <c r="H19" s="53"/>
      <c r="I19" s="53"/>
      <c r="J19" s="53"/>
      <c r="K19" s="53"/>
      <c r="L19" s="53"/>
      <c r="M19" s="53"/>
      <c r="N19" s="53"/>
      <c r="O19" s="53"/>
      <c r="P19" s="53"/>
      <c r="Q19" s="53"/>
      <c r="R19" s="53"/>
      <c r="S19" s="53"/>
      <c r="T19" s="53"/>
      <c r="U19" s="53"/>
    </row>
    <row r="20" spans="1:21" ht="15" x14ac:dyDescent="0.2">
      <c r="A20" s="53"/>
      <c r="B20" s="53"/>
      <c r="C20" s="53"/>
      <c r="D20" s="53"/>
      <c r="E20" s="53"/>
      <c r="F20" s="53"/>
      <c r="G20" s="53"/>
      <c r="H20" s="53"/>
      <c r="I20" s="53"/>
      <c r="J20" s="53"/>
      <c r="K20" s="53"/>
      <c r="L20" s="53"/>
      <c r="M20" s="53"/>
      <c r="N20" s="53"/>
      <c r="O20" s="53"/>
      <c r="P20" s="53"/>
      <c r="Q20" s="53"/>
      <c r="R20" s="53"/>
      <c r="S20" s="53"/>
      <c r="T20" s="53"/>
      <c r="U20" s="53"/>
    </row>
    <row r="21" spans="1:21" ht="15" x14ac:dyDescent="0.2">
      <c r="A21" s="53"/>
      <c r="B21" s="53"/>
      <c r="C21" s="53"/>
      <c r="D21" s="53"/>
      <c r="E21" s="53"/>
      <c r="F21" s="53"/>
      <c r="G21" s="53"/>
      <c r="H21" s="53"/>
      <c r="I21" s="53"/>
      <c r="J21" s="53"/>
      <c r="K21" s="53"/>
      <c r="L21" s="53"/>
      <c r="M21" s="53"/>
      <c r="N21" s="53"/>
      <c r="O21" s="53"/>
      <c r="P21" s="53"/>
      <c r="Q21" s="53"/>
      <c r="R21" s="53"/>
      <c r="S21" s="53"/>
      <c r="T21" s="53"/>
      <c r="U21" s="53"/>
    </row>
    <row r="22" spans="1:21" ht="15" x14ac:dyDescent="0.2">
      <c r="A22" s="53"/>
      <c r="B22" s="53"/>
      <c r="C22" s="53"/>
      <c r="D22" s="53"/>
      <c r="E22" s="53"/>
      <c r="F22" s="53"/>
      <c r="G22" s="53"/>
      <c r="H22" s="53"/>
      <c r="I22" s="53"/>
      <c r="J22" s="53"/>
      <c r="K22" s="53"/>
      <c r="L22" s="53"/>
      <c r="M22" s="53"/>
      <c r="N22" s="53"/>
      <c r="O22" s="53"/>
      <c r="P22" s="53"/>
      <c r="Q22" s="53"/>
      <c r="R22" s="53"/>
      <c r="S22" s="53"/>
      <c r="T22" s="53"/>
      <c r="U22" s="53"/>
    </row>
    <row r="23" spans="1:21" ht="15" x14ac:dyDescent="0.2">
      <c r="A23" s="53"/>
      <c r="B23" s="53"/>
      <c r="C23" s="53"/>
      <c r="D23" s="53"/>
      <c r="E23" s="53"/>
      <c r="F23" s="53"/>
      <c r="G23" s="53"/>
      <c r="H23" s="53"/>
      <c r="I23" s="53"/>
      <c r="J23" s="53"/>
      <c r="K23" s="53"/>
      <c r="L23" s="53"/>
      <c r="M23" s="53"/>
      <c r="N23" s="53"/>
      <c r="O23" s="53"/>
      <c r="P23" s="53"/>
      <c r="Q23" s="53"/>
      <c r="R23" s="53"/>
      <c r="S23" s="53"/>
      <c r="T23" s="53"/>
      <c r="U23" s="53"/>
    </row>
    <row r="24" spans="1:21" ht="15" x14ac:dyDescent="0.2">
      <c r="A24" s="53"/>
      <c r="B24" s="53"/>
      <c r="C24" s="53"/>
      <c r="D24" s="53"/>
      <c r="E24" s="53"/>
      <c r="F24" s="53"/>
      <c r="G24" s="53"/>
      <c r="H24" s="53"/>
      <c r="I24" s="53"/>
      <c r="J24" s="53"/>
      <c r="K24" s="53"/>
      <c r="L24" s="53"/>
      <c r="M24" s="53"/>
      <c r="N24" s="53"/>
      <c r="O24" s="53"/>
      <c r="P24" s="53"/>
      <c r="Q24" s="53"/>
      <c r="R24" s="53"/>
      <c r="S24" s="53"/>
      <c r="T24" s="53"/>
      <c r="U24" s="53"/>
    </row>
    <row r="25" spans="1:21" ht="15" x14ac:dyDescent="0.2">
      <c r="A25" s="53"/>
      <c r="B25" s="53"/>
      <c r="C25" s="53"/>
      <c r="D25" s="53"/>
      <c r="E25" s="53"/>
      <c r="F25" s="53"/>
      <c r="G25" s="53"/>
      <c r="H25" s="53"/>
      <c r="I25" s="53"/>
      <c r="J25" s="53"/>
      <c r="K25" s="53"/>
      <c r="L25" s="53"/>
      <c r="M25" s="53"/>
      <c r="N25" s="53"/>
      <c r="O25" s="53"/>
      <c r="P25" s="53"/>
      <c r="Q25" s="53"/>
      <c r="R25" s="53"/>
      <c r="S25" s="53"/>
      <c r="T25" s="53"/>
      <c r="U25" s="53"/>
    </row>
    <row r="26" spans="1:21" ht="15" x14ac:dyDescent="0.2">
      <c r="A26" s="53"/>
      <c r="B26" s="53"/>
      <c r="C26" s="53"/>
      <c r="D26" s="53"/>
      <c r="E26" s="53"/>
      <c r="F26" s="53"/>
      <c r="G26" s="53"/>
      <c r="H26" s="53"/>
      <c r="I26" s="53"/>
      <c r="J26" s="53"/>
      <c r="K26" s="53"/>
      <c r="L26" s="53"/>
      <c r="M26" s="53"/>
      <c r="N26" s="53"/>
      <c r="O26" s="53"/>
      <c r="P26" s="53"/>
      <c r="Q26" s="53"/>
      <c r="R26" s="53"/>
      <c r="S26" s="53"/>
      <c r="T26" s="53"/>
      <c r="U26" s="53"/>
    </row>
    <row r="27" spans="1:21" ht="15" x14ac:dyDescent="0.2">
      <c r="A27" s="53"/>
      <c r="B27" s="53"/>
      <c r="C27" s="53"/>
      <c r="D27" s="53"/>
      <c r="E27" s="53"/>
      <c r="F27" s="53"/>
      <c r="G27" s="53"/>
      <c r="H27" s="53"/>
      <c r="I27" s="53"/>
      <c r="J27" s="53"/>
      <c r="K27" s="53"/>
      <c r="L27" s="53"/>
      <c r="M27" s="53"/>
      <c r="N27" s="53"/>
      <c r="O27" s="53"/>
      <c r="P27" s="53"/>
      <c r="Q27" s="53"/>
      <c r="R27" s="53"/>
      <c r="S27" s="53"/>
      <c r="T27" s="53"/>
      <c r="U27" s="53"/>
    </row>
    <row r="28" spans="1:21" ht="15" x14ac:dyDescent="0.2">
      <c r="A28" s="53"/>
      <c r="B28" s="53"/>
      <c r="C28" s="53"/>
      <c r="D28" s="53"/>
      <c r="E28" s="53"/>
      <c r="F28" s="53"/>
      <c r="G28" s="53"/>
      <c r="H28" s="53"/>
      <c r="I28" s="53"/>
      <c r="J28" s="53"/>
      <c r="K28" s="53"/>
      <c r="L28" s="53"/>
      <c r="M28" s="53"/>
      <c r="N28" s="53"/>
      <c r="O28" s="53"/>
      <c r="P28" s="53"/>
      <c r="Q28" s="53"/>
      <c r="R28" s="53"/>
      <c r="S28" s="53"/>
      <c r="T28" s="53"/>
      <c r="U28" s="53"/>
    </row>
    <row r="29" spans="1:21" ht="15" x14ac:dyDescent="0.2">
      <c r="A29" s="53"/>
      <c r="B29" s="53"/>
      <c r="C29" s="53"/>
      <c r="D29" s="53"/>
      <c r="E29" s="53"/>
      <c r="F29" s="53"/>
      <c r="G29" s="53"/>
      <c r="H29" s="53"/>
      <c r="I29" s="53"/>
      <c r="J29" s="53"/>
      <c r="K29" s="53"/>
      <c r="L29" s="53"/>
      <c r="M29" s="53"/>
      <c r="N29" s="53"/>
      <c r="O29" s="53"/>
      <c r="P29" s="53"/>
      <c r="Q29" s="53"/>
      <c r="R29" s="53"/>
      <c r="S29" s="53"/>
      <c r="T29" s="53"/>
      <c r="U29" s="53"/>
    </row>
    <row r="30" spans="1:21" ht="15" x14ac:dyDescent="0.2">
      <c r="A30" s="53"/>
      <c r="B30" s="53"/>
      <c r="C30" s="53"/>
      <c r="D30" s="53"/>
      <c r="E30" s="53"/>
      <c r="F30" s="53"/>
      <c r="G30" s="53"/>
      <c r="H30" s="53"/>
      <c r="I30" s="53"/>
      <c r="J30" s="53"/>
      <c r="K30" s="53"/>
      <c r="L30" s="53"/>
      <c r="M30" s="53"/>
      <c r="N30" s="53"/>
      <c r="O30" s="53"/>
      <c r="P30" s="53"/>
      <c r="Q30" s="53"/>
      <c r="R30" s="53"/>
      <c r="S30" s="53"/>
      <c r="T30" s="53"/>
      <c r="U30" s="53"/>
    </row>
    <row r="31" spans="1:21" ht="15" x14ac:dyDescent="0.2">
      <c r="A31" s="53"/>
      <c r="B31" s="53"/>
      <c r="C31" s="53"/>
      <c r="D31" s="53"/>
      <c r="E31" s="53"/>
      <c r="F31" s="53"/>
      <c r="G31" s="53"/>
      <c r="H31" s="53"/>
      <c r="I31" s="53"/>
      <c r="J31" s="53"/>
      <c r="K31" s="53"/>
      <c r="L31" s="53"/>
      <c r="M31" s="53"/>
      <c r="N31" s="53"/>
      <c r="O31" s="53"/>
      <c r="P31" s="53"/>
      <c r="Q31" s="53"/>
      <c r="R31" s="53"/>
      <c r="S31" s="53"/>
      <c r="T31" s="53"/>
      <c r="U31" s="53"/>
    </row>
    <row r="32" spans="1:21" ht="15" x14ac:dyDescent="0.2">
      <c r="A32" s="53"/>
      <c r="B32" s="53"/>
      <c r="C32" s="53"/>
      <c r="D32" s="53"/>
      <c r="E32" s="53"/>
      <c r="F32" s="53"/>
      <c r="G32" s="53"/>
      <c r="H32" s="53"/>
      <c r="I32" s="53"/>
      <c r="J32" s="53"/>
      <c r="K32" s="53"/>
      <c r="L32" s="53"/>
      <c r="M32" s="53"/>
      <c r="N32" s="53"/>
      <c r="O32" s="53"/>
      <c r="P32" s="53"/>
      <c r="Q32" s="53"/>
      <c r="R32" s="53"/>
      <c r="S32" s="53"/>
      <c r="T32" s="53"/>
      <c r="U32" s="53"/>
    </row>
    <row r="33" spans="1:21" ht="15" x14ac:dyDescent="0.2">
      <c r="A33" s="53"/>
      <c r="B33" s="53"/>
      <c r="C33" s="53"/>
      <c r="D33" s="53"/>
      <c r="E33" s="53"/>
      <c r="F33" s="53"/>
      <c r="G33" s="53"/>
      <c r="H33" s="53"/>
      <c r="I33" s="53"/>
      <c r="J33" s="53"/>
      <c r="K33" s="53"/>
      <c r="L33" s="53"/>
      <c r="M33" s="53"/>
      <c r="N33" s="53"/>
      <c r="O33" s="53"/>
      <c r="P33" s="53"/>
      <c r="Q33" s="53"/>
      <c r="R33" s="53"/>
      <c r="S33" s="53"/>
      <c r="T33" s="53"/>
      <c r="U33" s="53"/>
    </row>
    <row r="34" spans="1:21" ht="15" x14ac:dyDescent="0.2">
      <c r="A34" s="53"/>
      <c r="B34" s="53"/>
      <c r="C34" s="53"/>
      <c r="D34" s="53"/>
      <c r="E34" s="53"/>
      <c r="F34" s="53"/>
      <c r="G34" s="53"/>
      <c r="H34" s="53"/>
      <c r="I34" s="53"/>
      <c r="J34" s="53"/>
      <c r="K34" s="53"/>
      <c r="L34" s="53"/>
      <c r="M34" s="53"/>
      <c r="N34" s="53"/>
      <c r="O34" s="53"/>
      <c r="P34" s="53"/>
      <c r="Q34" s="53"/>
      <c r="R34" s="53"/>
      <c r="S34" s="53"/>
      <c r="T34" s="53"/>
      <c r="U34" s="53"/>
    </row>
    <row r="35" spans="1:21" ht="15" x14ac:dyDescent="0.2">
      <c r="A35" s="53"/>
      <c r="B35" s="53"/>
      <c r="C35" s="53"/>
      <c r="D35" s="53"/>
      <c r="E35" s="53"/>
      <c r="F35" s="53"/>
      <c r="G35" s="53"/>
      <c r="H35" s="53"/>
      <c r="I35" s="53"/>
      <c r="J35" s="53"/>
      <c r="K35" s="53"/>
      <c r="L35" s="53"/>
      <c r="M35" s="53"/>
      <c r="N35" s="53"/>
      <c r="O35" s="53"/>
      <c r="P35" s="53"/>
      <c r="Q35" s="53"/>
      <c r="R35" s="53"/>
      <c r="S35" s="53"/>
      <c r="T35" s="53"/>
      <c r="U35" s="53"/>
    </row>
    <row r="36" spans="1:21" ht="15" x14ac:dyDescent="0.2">
      <c r="A36" s="53"/>
      <c r="B36" s="53"/>
      <c r="C36" s="53"/>
      <c r="D36" s="53"/>
      <c r="E36" s="53"/>
      <c r="F36" s="53"/>
      <c r="G36" s="53"/>
      <c r="H36" s="53"/>
      <c r="I36" s="53"/>
      <c r="J36" s="53"/>
      <c r="K36" s="53"/>
      <c r="L36" s="53"/>
      <c r="M36" s="53"/>
      <c r="N36" s="53"/>
      <c r="O36" s="53"/>
      <c r="P36" s="53"/>
      <c r="Q36" s="53"/>
      <c r="R36" s="53"/>
      <c r="S36" s="53"/>
      <c r="T36" s="53"/>
      <c r="U36" s="53"/>
    </row>
    <row r="37" spans="1:21" ht="15" x14ac:dyDescent="0.2">
      <c r="A37" s="53"/>
      <c r="B37" s="53"/>
      <c r="C37" s="53"/>
      <c r="D37" s="53"/>
      <c r="E37" s="53"/>
      <c r="F37" s="53"/>
      <c r="G37" s="53"/>
      <c r="H37" s="53"/>
      <c r="I37" s="53"/>
      <c r="J37" s="53"/>
      <c r="K37" s="53"/>
      <c r="L37" s="53"/>
      <c r="M37" s="53"/>
      <c r="N37" s="53"/>
      <c r="O37" s="53"/>
      <c r="P37" s="53"/>
      <c r="Q37" s="53"/>
      <c r="R37" s="53"/>
      <c r="S37" s="53"/>
      <c r="T37" s="53"/>
      <c r="U37" s="53"/>
    </row>
    <row r="38" spans="1:21" ht="15" x14ac:dyDescent="0.2">
      <c r="A38" s="53"/>
      <c r="B38" s="53"/>
      <c r="C38" s="53"/>
      <c r="D38" s="53"/>
      <c r="E38" s="53"/>
      <c r="F38" s="53"/>
      <c r="G38" s="53"/>
      <c r="H38" s="53"/>
      <c r="I38" s="53"/>
      <c r="J38" s="53"/>
      <c r="K38" s="53"/>
      <c r="L38" s="53"/>
      <c r="M38" s="53"/>
      <c r="N38" s="53"/>
      <c r="O38" s="53"/>
      <c r="P38" s="53"/>
      <c r="Q38" s="53"/>
      <c r="R38" s="53"/>
      <c r="S38" s="53"/>
      <c r="T38" s="53"/>
      <c r="U38" s="53"/>
    </row>
    <row r="39" spans="1:21" ht="15" x14ac:dyDescent="0.2">
      <c r="A39" s="53"/>
      <c r="B39" s="53"/>
      <c r="C39" s="53"/>
      <c r="D39" s="53"/>
      <c r="E39" s="53"/>
      <c r="F39" s="53"/>
      <c r="G39" s="53"/>
      <c r="H39" s="53"/>
      <c r="I39" s="53"/>
      <c r="J39" s="53"/>
      <c r="K39" s="53"/>
      <c r="L39" s="53"/>
      <c r="M39" s="53"/>
      <c r="N39" s="53"/>
      <c r="O39" s="53"/>
      <c r="P39" s="53"/>
      <c r="Q39" s="53"/>
      <c r="R39" s="53"/>
      <c r="S39" s="53"/>
      <c r="T39" s="53"/>
      <c r="U39" s="53"/>
    </row>
    <row r="40" spans="1:21" ht="15" x14ac:dyDescent="0.2">
      <c r="A40" s="53"/>
      <c r="B40" s="53"/>
      <c r="C40" s="53"/>
      <c r="D40" s="53"/>
      <c r="E40" s="53"/>
      <c r="F40" s="53"/>
      <c r="G40" s="53"/>
      <c r="H40" s="53"/>
      <c r="I40" s="53"/>
      <c r="J40" s="53"/>
      <c r="K40" s="53"/>
      <c r="L40" s="53"/>
      <c r="M40" s="53"/>
      <c r="N40" s="53"/>
      <c r="O40" s="53"/>
      <c r="P40" s="53"/>
      <c r="Q40" s="53"/>
      <c r="R40" s="53"/>
      <c r="S40" s="53"/>
      <c r="T40" s="53"/>
      <c r="U40" s="53"/>
    </row>
    <row r="41" spans="1:21" ht="15" x14ac:dyDescent="0.2">
      <c r="A41" s="53"/>
      <c r="B41" s="53"/>
      <c r="C41" s="53"/>
      <c r="D41" s="53"/>
      <c r="E41" s="53"/>
      <c r="F41" s="53"/>
      <c r="G41" s="53"/>
      <c r="H41" s="53"/>
      <c r="I41" s="53"/>
      <c r="J41" s="53"/>
      <c r="K41" s="53"/>
      <c r="L41" s="53"/>
      <c r="M41" s="53"/>
      <c r="N41" s="53"/>
      <c r="O41" s="53"/>
      <c r="P41" s="53"/>
      <c r="Q41" s="53"/>
      <c r="R41" s="53"/>
      <c r="S41" s="53"/>
      <c r="T41" s="53"/>
      <c r="U41" s="53"/>
    </row>
    <row r="42" spans="1:21" ht="15" x14ac:dyDescent="0.2">
      <c r="A42" s="53"/>
      <c r="B42" s="53"/>
      <c r="C42" s="53"/>
      <c r="D42" s="53"/>
      <c r="E42" s="53"/>
      <c r="F42" s="53"/>
      <c r="G42" s="53"/>
      <c r="H42" s="53"/>
      <c r="I42" s="53"/>
      <c r="J42" s="53"/>
      <c r="K42" s="53"/>
      <c r="L42" s="53"/>
      <c r="M42" s="53"/>
      <c r="N42" s="53"/>
      <c r="O42" s="53"/>
      <c r="P42" s="53"/>
      <c r="Q42" s="53"/>
      <c r="R42" s="53"/>
      <c r="S42" s="53"/>
      <c r="T42" s="53"/>
      <c r="U42" s="53"/>
    </row>
  </sheetData>
  <mergeCells count="1">
    <mergeCell ref="A1:D1"/>
  </mergeCells>
  <printOptions headings="1" gridLines="1"/>
  <pageMargins left="0.7" right="0.7" top="0.75" bottom="0.75" header="0.3" footer="0.3"/>
  <pageSetup orientation="portrait" verticalDpi="4"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46"/>
  <sheetViews>
    <sheetView workbookViewId="0">
      <selection activeCell="F4" sqref="F4"/>
    </sheetView>
  </sheetViews>
  <sheetFormatPr defaultRowHeight="12.75" x14ac:dyDescent="0.2"/>
  <cols>
    <col min="1" max="1" width="17.85546875" customWidth="1"/>
    <col min="2" max="3" width="14" customWidth="1"/>
    <col min="4" max="4" width="23.85546875" bestFit="1" customWidth="1"/>
    <col min="6" max="6" width="18.28515625" customWidth="1"/>
  </cols>
  <sheetData>
    <row r="1" spans="1:10" ht="18" x14ac:dyDescent="0.25">
      <c r="A1" s="47" t="s">
        <v>17</v>
      </c>
      <c r="B1" s="47"/>
      <c r="C1" s="47"/>
      <c r="D1" s="47"/>
      <c r="E1" s="47"/>
      <c r="F1" s="47"/>
      <c r="G1" s="47"/>
      <c r="H1" s="47"/>
    </row>
    <row r="2" spans="1:10" s="53" customFormat="1" ht="15" x14ac:dyDescent="0.2">
      <c r="A2" s="53" t="s">
        <v>3</v>
      </c>
      <c r="B2" s="55">
        <v>0.15</v>
      </c>
      <c r="D2" s="62" t="s">
        <v>91</v>
      </c>
      <c r="E2" s="62"/>
      <c r="F2" s="62"/>
      <c r="G2" s="62"/>
      <c r="H2" s="62"/>
      <c r="I2" s="62"/>
      <c r="J2" s="62"/>
    </row>
    <row r="3" spans="1:10" s="53" customFormat="1" ht="15" x14ac:dyDescent="0.2"/>
    <row r="4" spans="1:10" s="53" customFormat="1" ht="15.75" x14ac:dyDescent="0.25">
      <c r="A4" s="56" t="s">
        <v>2</v>
      </c>
      <c r="B4" s="64" t="s">
        <v>15</v>
      </c>
      <c r="C4" s="64" t="s">
        <v>16</v>
      </c>
      <c r="F4" s="64" t="s">
        <v>90</v>
      </c>
    </row>
    <row r="5" spans="1:10" s="53" customFormat="1" ht="15" x14ac:dyDescent="0.2">
      <c r="A5" s="57">
        <v>0</v>
      </c>
      <c r="B5" s="53">
        <v>-500</v>
      </c>
      <c r="C5" s="53">
        <v>-750</v>
      </c>
      <c r="F5" s="53">
        <f>C5-B5</f>
        <v>-250</v>
      </c>
    </row>
    <row r="6" spans="1:10" s="53" customFormat="1" ht="15" x14ac:dyDescent="0.2">
      <c r="A6" s="57">
        <v>1</v>
      </c>
      <c r="B6" s="53">
        <v>100</v>
      </c>
      <c r="C6" s="53">
        <v>120</v>
      </c>
      <c r="F6" s="53">
        <f t="shared" ref="F6:F10" si="0">C6-B6</f>
        <v>20</v>
      </c>
    </row>
    <row r="7" spans="1:10" s="53" customFormat="1" ht="15" x14ac:dyDescent="0.2">
      <c r="A7" s="57">
        <v>2</v>
      </c>
      <c r="B7" s="53">
        <v>100</v>
      </c>
      <c r="C7" s="53">
        <v>120</v>
      </c>
      <c r="F7" s="53">
        <f t="shared" si="0"/>
        <v>20</v>
      </c>
    </row>
    <row r="8" spans="1:10" s="53" customFormat="1" ht="15" x14ac:dyDescent="0.2">
      <c r="A8" s="57">
        <v>3</v>
      </c>
      <c r="B8" s="53">
        <v>150</v>
      </c>
      <c r="C8" s="53">
        <v>250</v>
      </c>
      <c r="F8" s="53">
        <f t="shared" si="0"/>
        <v>100</v>
      </c>
    </row>
    <row r="9" spans="1:10" s="53" customFormat="1" ht="15" x14ac:dyDescent="0.2">
      <c r="A9" s="57">
        <v>4</v>
      </c>
      <c r="B9" s="53">
        <v>200</v>
      </c>
      <c r="C9" s="53">
        <v>250</v>
      </c>
      <c r="F9" s="53">
        <f t="shared" si="0"/>
        <v>50</v>
      </c>
    </row>
    <row r="10" spans="1:10" s="53" customFormat="1" ht="15" x14ac:dyDescent="0.2">
      <c r="A10" s="57">
        <v>5</v>
      </c>
      <c r="B10" s="53">
        <v>400</v>
      </c>
      <c r="C10" s="53">
        <v>600</v>
      </c>
      <c r="F10" s="53">
        <f t="shared" si="0"/>
        <v>200</v>
      </c>
    </row>
    <row r="11" spans="1:10" s="53" customFormat="1" ht="15" x14ac:dyDescent="0.2"/>
    <row r="12" spans="1:10" s="53" customFormat="1" ht="15" x14ac:dyDescent="0.2">
      <c r="A12" s="54" t="s">
        <v>0</v>
      </c>
      <c r="B12" s="59">
        <f>B5+NPV($B$2,B6:B10)</f>
        <v>74.419666571529888</v>
      </c>
      <c r="C12" s="59">
        <f>C5+NPV($B$2,C6:C10)</f>
        <v>50.708476847800171</v>
      </c>
      <c r="D12" s="53" t="str">
        <f ca="1">getformula(C12)</f>
        <v>&lt;-- =C5+NPV($B$2,C6:C10)</v>
      </c>
      <c r="F12" s="60">
        <f>IRR(F5:F10)</f>
        <v>0.12028119997781594</v>
      </c>
    </row>
    <row r="13" spans="1:10" s="53" customFormat="1" ht="15" x14ac:dyDescent="0.2">
      <c r="A13" s="54" t="s">
        <v>1</v>
      </c>
      <c r="B13" s="61">
        <f>IRR(B5:B10)</f>
        <v>0.19770388847350806</v>
      </c>
      <c r="C13" s="61">
        <f>IRR(C5:C10)</f>
        <v>0.17150602988957808</v>
      </c>
      <c r="D13" s="53" t="str">
        <f ca="1">getformula(C13)</f>
        <v>&lt;-- =IRR(C5:C10)</v>
      </c>
    </row>
    <row r="14" spans="1:10" s="53" customFormat="1" ht="15" x14ac:dyDescent="0.2"/>
    <row r="15" spans="1:10" s="53" customFormat="1" ht="15.75" x14ac:dyDescent="0.25">
      <c r="A15" s="64" t="s">
        <v>18</v>
      </c>
    </row>
    <row r="16" spans="1:10" s="53" customFormat="1" ht="15.75" x14ac:dyDescent="0.25">
      <c r="A16" s="64"/>
    </row>
    <row r="17" spans="1:4" s="53" customFormat="1" ht="31.5" x14ac:dyDescent="0.25">
      <c r="A17" s="64"/>
      <c r="B17" s="66" t="s">
        <v>19</v>
      </c>
      <c r="C17" s="66" t="s">
        <v>20</v>
      </c>
      <c r="D17" s="71" t="s">
        <v>89</v>
      </c>
    </row>
    <row r="18" spans="1:4" s="53" customFormat="1" ht="15" x14ac:dyDescent="0.2">
      <c r="B18" s="68">
        <f>B12</f>
        <v>74.419666571529888</v>
      </c>
      <c r="C18" s="68">
        <f>C12</f>
        <v>50.708476847800171</v>
      </c>
      <c r="D18" s="67" t="s">
        <v>88</v>
      </c>
    </row>
    <row r="19" spans="1:4" s="53" customFormat="1" ht="15" x14ac:dyDescent="0.2">
      <c r="A19" s="69">
        <v>0</v>
      </c>
      <c r="B19" s="68">
        <f t="dataTable" ref="B19:C34" dt2D="0" dtr="0" r1="B2"/>
        <v>450</v>
      </c>
      <c r="C19" s="68">
        <v>590</v>
      </c>
      <c r="D19" s="70">
        <f>C19-B19</f>
        <v>140</v>
      </c>
    </row>
    <row r="20" spans="1:4" s="53" customFormat="1" ht="15" x14ac:dyDescent="0.2">
      <c r="A20" s="69">
        <v>0.02</v>
      </c>
      <c r="B20" s="68">
        <v>382.56585312939899</v>
      </c>
      <c r="C20" s="68">
        <v>492.96773861342695</v>
      </c>
      <c r="D20" s="70">
        <f t="shared" ref="D20:D34" si="1">C20-B20</f>
        <v>110.40188548402796</v>
      </c>
    </row>
    <row r="21" spans="1:4" s="53" customFormat="1" ht="15" x14ac:dyDescent="0.2">
      <c r="A21" s="69">
        <v>0.04</v>
      </c>
      <c r="B21" s="68">
        <v>321.69060216594437</v>
      </c>
      <c r="C21" s="68">
        <v>405.43776242751665</v>
      </c>
      <c r="D21" s="70">
        <f t="shared" si="1"/>
        <v>83.747160261572276</v>
      </c>
    </row>
    <row r="22" spans="1:4" s="53" customFormat="1" ht="15" x14ac:dyDescent="0.2">
      <c r="A22" s="69">
        <v>0.06</v>
      </c>
      <c r="B22" s="68">
        <v>266.60416089180558</v>
      </c>
      <c r="C22" s="68">
        <v>326.29026025873486</v>
      </c>
      <c r="D22" s="70">
        <f t="shared" si="1"/>
        <v>59.686099366929284</v>
      </c>
    </row>
    <row r="23" spans="1:4" s="53" customFormat="1" ht="15" x14ac:dyDescent="0.2">
      <c r="A23" s="69">
        <v>0.08</v>
      </c>
      <c r="B23" s="68">
        <v>216.64056014858818</v>
      </c>
      <c r="C23" s="68">
        <v>254.5572112217327</v>
      </c>
      <c r="D23" s="70">
        <f t="shared" si="1"/>
        <v>37.916651073144521</v>
      </c>
    </row>
    <row r="24" spans="1:4" s="53" customFormat="1" ht="15" x14ac:dyDescent="0.2">
      <c r="A24" s="69">
        <v>0.1</v>
      </c>
      <c r="B24" s="68">
        <v>171.22215944017705</v>
      </c>
      <c r="C24" s="68">
        <v>189.39932071207227</v>
      </c>
      <c r="D24" s="70">
        <f t="shared" si="1"/>
        <v>18.177161271895216</v>
      </c>
    </row>
    <row r="25" spans="1:4" s="53" customFormat="1" ht="15" x14ac:dyDescent="0.2">
      <c r="A25" s="69">
        <v>0.12</v>
      </c>
      <c r="B25" s="68">
        <v>129.84649718123376</v>
      </c>
      <c r="C25" s="68">
        <v>130.08681743469947</v>
      </c>
      <c r="D25" s="70">
        <f t="shared" si="1"/>
        <v>0.24032025346571118</v>
      </c>
    </row>
    <row r="26" spans="1:4" s="53" customFormat="1" ht="15" x14ac:dyDescent="0.2">
      <c r="A26" s="69">
        <v>0.14000000000000001</v>
      </c>
      <c r="B26" s="68">
        <v>92.075299740910282</v>
      </c>
      <c r="C26" s="68">
        <v>75.983408320113199</v>
      </c>
      <c r="D26" s="70">
        <f t="shared" si="1"/>
        <v>-16.091891420797083</v>
      </c>
    </row>
    <row r="27" spans="1:4" s="53" customFormat="1" ht="15" x14ac:dyDescent="0.2">
      <c r="A27" s="69">
        <v>0.16</v>
      </c>
      <c r="B27" s="68">
        <v>57.525263455499271</v>
      </c>
      <c r="C27" s="68">
        <v>26.532826123002678</v>
      </c>
      <c r="D27" s="70">
        <f t="shared" si="1"/>
        <v>-30.992437332496593</v>
      </c>
    </row>
    <row r="28" spans="1:4" s="53" customFormat="1" ht="15" x14ac:dyDescent="0.2">
      <c r="A28" s="69">
        <v>0.18</v>
      </c>
      <c r="B28" s="68">
        <v>25.860298112485907</v>
      </c>
      <c r="C28" s="68">
        <v>-18.752486478292212</v>
      </c>
      <c r="D28" s="70">
        <f t="shared" si="1"/>
        <v>-44.612784590778119</v>
      </c>
    </row>
    <row r="29" spans="1:4" s="53" customFormat="1" ht="15" x14ac:dyDescent="0.2">
      <c r="A29" s="69">
        <v>0.2</v>
      </c>
      <c r="B29" s="68">
        <v>-3.2150205761316215</v>
      </c>
      <c r="C29" s="68">
        <v>-60.300925925925981</v>
      </c>
      <c r="D29" s="70">
        <f t="shared" si="1"/>
        <v>-57.085905349794359</v>
      </c>
    </row>
    <row r="30" spans="1:4" s="53" customFormat="1" ht="15" x14ac:dyDescent="0.2">
      <c r="A30" s="69">
        <v>0.22</v>
      </c>
      <c r="B30" s="68">
        <v>-29.960994939285172</v>
      </c>
      <c r="C30" s="68">
        <v>-98.4898106367624</v>
      </c>
      <c r="D30" s="70">
        <f t="shared" si="1"/>
        <v>-68.528815697477228</v>
      </c>
    </row>
    <row r="31" spans="1:4" s="53" customFormat="1" ht="15" x14ac:dyDescent="0.2">
      <c r="A31" s="69">
        <v>0.24</v>
      </c>
      <c r="B31" s="68">
        <v>-54.607513509569287</v>
      </c>
      <c r="C31" s="68">
        <v>-133.65224312799216</v>
      </c>
      <c r="D31" s="70">
        <f t="shared" si="1"/>
        <v>-79.044729618422878</v>
      </c>
    </row>
    <row r="32" spans="1:4" s="53" customFormat="1" ht="15" x14ac:dyDescent="0.2">
      <c r="A32" s="69">
        <v>0.26</v>
      </c>
      <c r="B32" s="68">
        <v>-77.358060866970732</v>
      </c>
      <c r="C32" s="68">
        <v>-166.08295251981679</v>
      </c>
      <c r="D32" s="70">
        <f t="shared" si="1"/>
        <v>-88.724891652846054</v>
      </c>
    </row>
    <row r="33" spans="1:4" s="53" customFormat="1" ht="15" x14ac:dyDescent="0.2">
      <c r="A33" s="69">
        <v>0.28000000000000003</v>
      </c>
      <c r="B33" s="68">
        <v>-98.393142223358154</v>
      </c>
      <c r="C33" s="68">
        <v>-196.04328274726868</v>
      </c>
      <c r="D33" s="70">
        <f t="shared" si="1"/>
        <v>-97.650140523910522</v>
      </c>
    </row>
    <row r="34" spans="1:4" s="53" customFormat="1" ht="15" x14ac:dyDescent="0.2">
      <c r="A34" s="69">
        <v>0.3</v>
      </c>
      <c r="B34" s="68">
        <v>-117.8732160315439</v>
      </c>
      <c r="C34" s="68">
        <v>-223.76546285548079</v>
      </c>
      <c r="D34" s="70">
        <f t="shared" si="1"/>
        <v>-105.89224682393689</v>
      </c>
    </row>
    <row r="35" spans="1:4" s="53" customFormat="1" ht="15" x14ac:dyDescent="0.2"/>
    <row r="36" spans="1:4" s="53" customFormat="1" ht="15" x14ac:dyDescent="0.2"/>
    <row r="37" spans="1:4" s="53" customFormat="1" ht="15" x14ac:dyDescent="0.2"/>
    <row r="38" spans="1:4" s="53" customFormat="1" ht="15" x14ac:dyDescent="0.2"/>
    <row r="39" spans="1:4" s="53" customFormat="1" ht="15" x14ac:dyDescent="0.2"/>
    <row r="40" spans="1:4" s="53" customFormat="1" ht="15" x14ac:dyDescent="0.2"/>
    <row r="41" spans="1:4" s="53" customFormat="1" ht="15" x14ac:dyDescent="0.2"/>
    <row r="42" spans="1:4" s="53" customFormat="1" ht="15" x14ac:dyDescent="0.2"/>
    <row r="43" spans="1:4" s="53" customFormat="1" ht="15" x14ac:dyDescent="0.2"/>
    <row r="44" spans="1:4" s="53" customFormat="1" ht="15" x14ac:dyDescent="0.2"/>
    <row r="45" spans="1:4" s="53" customFormat="1" ht="15" x14ac:dyDescent="0.2"/>
    <row r="46" spans="1:4" s="53" customFormat="1" ht="15" x14ac:dyDescent="0.2"/>
  </sheetData>
  <mergeCells count="1">
    <mergeCell ref="A1:H1"/>
  </mergeCells>
  <printOptions headings="1" gridLines="1"/>
  <pageMargins left="0.7" right="0.7" top="0.75" bottom="0.75" header="0.3" footer="0.3"/>
  <pageSetup orientation="portrait" verticalDpi="4"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7"/>
  <sheetViews>
    <sheetView workbookViewId="0">
      <selection activeCell="H5" sqref="H5"/>
    </sheetView>
  </sheetViews>
  <sheetFormatPr defaultRowHeight="12.75" x14ac:dyDescent="0.2"/>
  <cols>
    <col min="1" max="1" width="17.85546875" customWidth="1"/>
    <col min="2" max="6" width="14" customWidth="1"/>
    <col min="7" max="7" width="18.7109375" customWidth="1"/>
    <col min="8" max="10" width="21.42578125" customWidth="1"/>
    <col min="11" max="11" width="19.140625" customWidth="1"/>
  </cols>
  <sheetData>
    <row r="1" spans="1:12" ht="18" x14ac:dyDescent="0.25">
      <c r="A1" s="47" t="s">
        <v>102</v>
      </c>
      <c r="B1" s="47"/>
      <c r="C1" s="47"/>
      <c r="D1" s="47"/>
      <c r="E1" s="47"/>
      <c r="F1" s="47"/>
      <c r="G1" s="47"/>
      <c r="H1" s="47"/>
      <c r="I1" s="47"/>
      <c r="J1" s="47"/>
    </row>
    <row r="2" spans="1:12" s="53" customFormat="1" ht="15" x14ac:dyDescent="0.2">
      <c r="A2" s="53" t="s">
        <v>3</v>
      </c>
      <c r="B2" s="55">
        <v>0.15</v>
      </c>
      <c r="G2" s="72"/>
      <c r="H2" s="72"/>
      <c r="I2" s="72"/>
      <c r="J2" s="72"/>
      <c r="K2" s="72"/>
      <c r="L2" s="72"/>
    </row>
    <row r="3" spans="1:12" s="53" customFormat="1" ht="15" x14ac:dyDescent="0.2"/>
    <row r="4" spans="1:12" s="53" customFormat="1" ht="15.75" x14ac:dyDescent="0.25">
      <c r="A4" s="56" t="s">
        <v>2</v>
      </c>
      <c r="B4" s="64" t="s">
        <v>15</v>
      </c>
      <c r="C4" s="64" t="s">
        <v>16</v>
      </c>
      <c r="D4" s="64" t="s">
        <v>95</v>
      </c>
      <c r="E4" s="64" t="s">
        <v>99</v>
      </c>
      <c r="F4" s="64" t="s">
        <v>103</v>
      </c>
      <c r="H4" s="64" t="s">
        <v>90</v>
      </c>
      <c r="I4" s="64" t="s">
        <v>97</v>
      </c>
      <c r="J4" s="64" t="s">
        <v>100</v>
      </c>
      <c r="K4" s="64" t="s">
        <v>105</v>
      </c>
    </row>
    <row r="5" spans="1:12" s="53" customFormat="1" ht="15" x14ac:dyDescent="0.2">
      <c r="A5" s="57">
        <v>0</v>
      </c>
      <c r="B5" s="53">
        <v>-500</v>
      </c>
      <c r="C5" s="53">
        <v>-750</v>
      </c>
      <c r="D5" s="53">
        <v>-1500</v>
      </c>
      <c r="E5" s="53">
        <v>-5000</v>
      </c>
      <c r="F5" s="53">
        <v>-7000</v>
      </c>
      <c r="H5" s="53">
        <f>C5-B5</f>
        <v>-250</v>
      </c>
      <c r="I5" s="53">
        <f>D5-B5</f>
        <v>-1000</v>
      </c>
      <c r="J5" s="53">
        <f>E5-D5</f>
        <v>-3500</v>
      </c>
      <c r="K5" s="53">
        <f>F5-D5</f>
        <v>-5500</v>
      </c>
    </row>
    <row r="6" spans="1:12" s="53" customFormat="1" ht="15" x14ac:dyDescent="0.2">
      <c r="A6" s="57">
        <v>1</v>
      </c>
      <c r="B6" s="53">
        <v>100</v>
      </c>
      <c r="C6" s="53">
        <v>120</v>
      </c>
      <c r="D6" s="53">
        <v>0</v>
      </c>
      <c r="E6" s="53">
        <v>2000</v>
      </c>
      <c r="F6" s="53">
        <v>550</v>
      </c>
      <c r="H6" s="53">
        <f t="shared" ref="H6:H10" si="0">C6-B6</f>
        <v>20</v>
      </c>
      <c r="I6" s="53">
        <f t="shared" ref="I6:I10" si="1">D6-B6</f>
        <v>-100</v>
      </c>
      <c r="J6" s="53">
        <f t="shared" ref="J6:J10" si="2">E6-D6</f>
        <v>2000</v>
      </c>
      <c r="K6" s="53">
        <f t="shared" ref="K6:K10" si="3">F6-D6</f>
        <v>550</v>
      </c>
    </row>
    <row r="7" spans="1:12" s="53" customFormat="1" ht="15" x14ac:dyDescent="0.2">
      <c r="A7" s="57">
        <v>2</v>
      </c>
      <c r="B7" s="53">
        <v>100</v>
      </c>
      <c r="C7" s="53">
        <v>120</v>
      </c>
      <c r="D7" s="53">
        <v>0</v>
      </c>
      <c r="E7" s="53">
        <v>2000</v>
      </c>
      <c r="F7" s="53">
        <v>2000</v>
      </c>
      <c r="H7" s="53">
        <f t="shared" si="0"/>
        <v>20</v>
      </c>
      <c r="I7" s="53">
        <f t="shared" si="1"/>
        <v>-100</v>
      </c>
      <c r="J7" s="53">
        <f t="shared" si="2"/>
        <v>2000</v>
      </c>
      <c r="K7" s="53">
        <f t="shared" si="3"/>
        <v>2000</v>
      </c>
    </row>
    <row r="8" spans="1:12" s="53" customFormat="1" ht="15" x14ac:dyDescent="0.2">
      <c r="A8" s="57">
        <v>3</v>
      </c>
      <c r="B8" s="53">
        <v>150</v>
      </c>
      <c r="C8" s="53">
        <v>250</v>
      </c>
      <c r="D8" s="53">
        <v>0</v>
      </c>
      <c r="E8" s="53">
        <v>0</v>
      </c>
      <c r="F8" s="53">
        <v>3000</v>
      </c>
      <c r="H8" s="53">
        <f t="shared" si="0"/>
        <v>100</v>
      </c>
      <c r="I8" s="53">
        <f t="shared" si="1"/>
        <v>-150</v>
      </c>
      <c r="J8" s="53">
        <f t="shared" si="2"/>
        <v>0</v>
      </c>
      <c r="K8" s="53">
        <f t="shared" si="3"/>
        <v>3000</v>
      </c>
    </row>
    <row r="9" spans="1:12" s="53" customFormat="1" ht="15" x14ac:dyDescent="0.2">
      <c r="A9" s="57">
        <v>4</v>
      </c>
      <c r="B9" s="53">
        <v>200</v>
      </c>
      <c r="C9" s="53">
        <v>250</v>
      </c>
      <c r="D9" s="53">
        <v>0</v>
      </c>
      <c r="E9" s="53">
        <v>0</v>
      </c>
      <c r="F9" s="53">
        <v>2500</v>
      </c>
      <c r="H9" s="53">
        <f t="shared" si="0"/>
        <v>50</v>
      </c>
      <c r="I9" s="53">
        <f t="shared" si="1"/>
        <v>-200</v>
      </c>
      <c r="J9" s="53">
        <f t="shared" si="2"/>
        <v>0</v>
      </c>
      <c r="K9" s="53">
        <f t="shared" si="3"/>
        <v>2500</v>
      </c>
    </row>
    <row r="10" spans="1:12" s="53" customFormat="1" ht="15" x14ac:dyDescent="0.2">
      <c r="A10" s="57">
        <v>5</v>
      </c>
      <c r="B10" s="53">
        <v>400</v>
      </c>
      <c r="C10" s="53">
        <v>600</v>
      </c>
      <c r="D10" s="53">
        <v>3200</v>
      </c>
      <c r="E10" s="53">
        <v>3650</v>
      </c>
      <c r="F10" s="53">
        <v>3500</v>
      </c>
      <c r="H10" s="53">
        <f t="shared" si="0"/>
        <v>200</v>
      </c>
      <c r="I10" s="53">
        <f t="shared" si="1"/>
        <v>2800</v>
      </c>
      <c r="J10" s="53">
        <f t="shared" si="2"/>
        <v>450</v>
      </c>
      <c r="K10" s="53">
        <f t="shared" si="3"/>
        <v>300</v>
      </c>
    </row>
    <row r="11" spans="1:12" s="53" customFormat="1" ht="15" x14ac:dyDescent="0.2"/>
    <row r="12" spans="1:12" s="53" customFormat="1" ht="15" x14ac:dyDescent="0.2">
      <c r="A12" s="54" t="s">
        <v>0</v>
      </c>
      <c r="B12" s="59">
        <f>B5+NPV($B$2,B6:B10)</f>
        <v>74.419666571529888</v>
      </c>
      <c r="C12" s="59">
        <f>C5+NPV($B$2,C6:C10)</f>
        <v>50.708476847800171</v>
      </c>
      <c r="D12" s="59">
        <f>D5+NPV($B$2,D6:D10)</f>
        <v>90.965552954527766</v>
      </c>
      <c r="E12" s="59">
        <f>E5+NPV($B$2,E6:E10)</f>
        <v>66.112853214940515</v>
      </c>
      <c r="F12" s="73">
        <f>F5+NPV($B$2,F6:F10)</f>
        <v>132.59858898135371</v>
      </c>
    </row>
    <row r="13" spans="1:12" s="53" customFormat="1" ht="15" x14ac:dyDescent="0.2">
      <c r="A13" s="54" t="s">
        <v>1</v>
      </c>
      <c r="B13" s="61">
        <f>IRR(B5:B10)</f>
        <v>0.19770388847350806</v>
      </c>
      <c r="C13" s="61">
        <f>IRR(C5:C10)</f>
        <v>0.17150602988957808</v>
      </c>
      <c r="D13" s="61">
        <f>IRR(D5:D10)</f>
        <v>0.16362151830516569</v>
      </c>
      <c r="E13" s="61">
        <f>IRR(E5:E10)</f>
        <v>0.15555898699007176</v>
      </c>
      <c r="F13" s="74">
        <f>IRR(F5:F10)</f>
        <v>0.15648348546888458</v>
      </c>
      <c r="H13" s="60">
        <f>IRR(H5:H10)</f>
        <v>0.12028119997781594</v>
      </c>
      <c r="I13" s="60">
        <f>IRR(I5:I10)</f>
        <v>0.15321594816939532</v>
      </c>
      <c r="J13" s="60">
        <f>IRR(J5:J10)</f>
        <v>0.14517467673321494</v>
      </c>
      <c r="K13" s="60">
        <f>IRR(K5:K10)</f>
        <v>0.1530309790802411</v>
      </c>
    </row>
    <row r="14" spans="1:12" s="53" customFormat="1" ht="15.75" x14ac:dyDescent="0.25">
      <c r="H14" s="56" t="s">
        <v>96</v>
      </c>
      <c r="I14" s="56" t="s">
        <v>98</v>
      </c>
      <c r="J14" s="56" t="s">
        <v>101</v>
      </c>
      <c r="K14" s="75" t="s">
        <v>104</v>
      </c>
    </row>
    <row r="15" spans="1:12" ht="15.75" x14ac:dyDescent="0.25">
      <c r="F15" s="64" t="s">
        <v>107</v>
      </c>
      <c r="K15" s="75" t="s">
        <v>109</v>
      </c>
    </row>
    <row r="16" spans="1:12" ht="15.75" x14ac:dyDescent="0.25">
      <c r="F16" s="64" t="s">
        <v>108</v>
      </c>
    </row>
    <row r="17" spans="6:6" ht="15.75" x14ac:dyDescent="0.25">
      <c r="F17" s="64" t="s">
        <v>106</v>
      </c>
    </row>
  </sheetData>
  <mergeCells count="1">
    <mergeCell ref="A1:J1"/>
  </mergeCells>
  <printOptions headings="1" gridLines="1"/>
  <pageMargins left="0.7" right="0.7" top="0.75" bottom="0.75" header="0.3" footer="0.3"/>
  <pageSetup orientation="portrait" verticalDpi="4"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63"/>
  <sheetViews>
    <sheetView workbookViewId="0">
      <selection activeCell="F11" sqref="F11"/>
    </sheetView>
  </sheetViews>
  <sheetFormatPr defaultRowHeight="12.75" x14ac:dyDescent="0.2"/>
  <cols>
    <col min="2" max="4" width="13.28515625" customWidth="1"/>
    <col min="5" max="7" width="15.140625" customWidth="1"/>
  </cols>
  <sheetData>
    <row r="1" spans="1:7" ht="18" x14ac:dyDescent="0.25">
      <c r="A1" s="47" t="s">
        <v>46</v>
      </c>
      <c r="B1" s="47"/>
      <c r="C1" s="47"/>
      <c r="D1" s="47"/>
      <c r="E1" s="47"/>
      <c r="F1" s="47"/>
      <c r="G1" s="47"/>
    </row>
    <row r="2" spans="1:7" s="19" customFormat="1" ht="25.5" x14ac:dyDescent="0.2">
      <c r="A2" s="2" t="s">
        <v>2</v>
      </c>
      <c r="B2" s="2" t="s">
        <v>47</v>
      </c>
      <c r="C2" s="2" t="s">
        <v>48</v>
      </c>
      <c r="D2" s="2" t="s">
        <v>49</v>
      </c>
      <c r="E2" s="2" t="s">
        <v>50</v>
      </c>
      <c r="F2" s="2" t="s">
        <v>51</v>
      </c>
      <c r="G2" s="2" t="s">
        <v>52</v>
      </c>
    </row>
    <row r="3" spans="1:7" x14ac:dyDescent="0.2">
      <c r="A3" s="1">
        <v>0</v>
      </c>
      <c r="B3">
        <v>-100</v>
      </c>
      <c r="C3">
        <v>-100</v>
      </c>
      <c r="D3">
        <v>100</v>
      </c>
      <c r="E3">
        <v>25</v>
      </c>
      <c r="F3">
        <v>-25</v>
      </c>
      <c r="G3">
        <v>-250</v>
      </c>
    </row>
    <row r="4" spans="1:7" x14ac:dyDescent="0.2">
      <c r="A4" s="1">
        <v>1</v>
      </c>
      <c r="B4">
        <v>200</v>
      </c>
      <c r="C4">
        <v>-50</v>
      </c>
      <c r="D4">
        <v>55</v>
      </c>
      <c r="E4">
        <v>35</v>
      </c>
      <c r="F4">
        <v>80</v>
      </c>
      <c r="G4">
        <v>35</v>
      </c>
    </row>
    <row r="5" spans="1:7" x14ac:dyDescent="0.2">
      <c r="A5" s="1">
        <v>2</v>
      </c>
      <c r="B5">
        <v>500</v>
      </c>
      <c r="C5">
        <v>60</v>
      </c>
      <c r="D5">
        <v>35</v>
      </c>
      <c r="E5">
        <f>-200</f>
        <v>-200</v>
      </c>
      <c r="F5">
        <v>-100</v>
      </c>
      <c r="G5">
        <v>145</v>
      </c>
    </row>
    <row r="6" spans="1:7" x14ac:dyDescent="0.2">
      <c r="A6" s="1">
        <v>3</v>
      </c>
      <c r="B6">
        <v>50</v>
      </c>
      <c r="C6">
        <v>80</v>
      </c>
      <c r="D6">
        <v>50</v>
      </c>
      <c r="E6">
        <v>33</v>
      </c>
      <c r="F6">
        <v>200</v>
      </c>
      <c r="G6">
        <v>330</v>
      </c>
    </row>
    <row r="7" spans="1:7" x14ac:dyDescent="0.2">
      <c r="A7" s="1">
        <v>4</v>
      </c>
      <c r="B7">
        <v>60</v>
      </c>
      <c r="C7">
        <v>99</v>
      </c>
      <c r="D7">
        <v>-100</v>
      </c>
      <c r="E7">
        <v>55</v>
      </c>
      <c r="F7">
        <v>55</v>
      </c>
      <c r="G7">
        <v>55</v>
      </c>
    </row>
    <row r="8" spans="1:7" x14ac:dyDescent="0.2">
      <c r="A8" s="1">
        <v>5</v>
      </c>
      <c r="B8">
        <v>35</v>
      </c>
      <c r="C8">
        <v>100</v>
      </c>
      <c r="D8">
        <v>-35</v>
      </c>
      <c r="E8">
        <v>155</v>
      </c>
      <c r="F8">
        <v>-250</v>
      </c>
      <c r="G8">
        <v>-250</v>
      </c>
    </row>
    <row r="9" spans="1:7" s="4" customFormat="1" ht="51" x14ac:dyDescent="0.2">
      <c r="B9" s="42" t="s">
        <v>57</v>
      </c>
      <c r="C9" s="42" t="s">
        <v>56</v>
      </c>
      <c r="D9" s="42" t="s">
        <v>56</v>
      </c>
      <c r="E9" s="42" t="s">
        <v>58</v>
      </c>
      <c r="F9" s="42" t="s">
        <v>58</v>
      </c>
      <c r="G9" s="42" t="s">
        <v>58</v>
      </c>
    </row>
    <row r="10" spans="1:7" s="43" customFormat="1" ht="76.5" x14ac:dyDescent="0.2">
      <c r="B10" s="44" t="s">
        <v>53</v>
      </c>
      <c r="C10" s="44" t="s">
        <v>54</v>
      </c>
      <c r="D10" s="44" t="s">
        <v>55</v>
      </c>
      <c r="E10" s="44" t="s">
        <v>59</v>
      </c>
      <c r="F10" s="44" t="s">
        <v>61</v>
      </c>
      <c r="G10" s="44" t="s">
        <v>60</v>
      </c>
    </row>
    <row r="12" spans="1:7" x14ac:dyDescent="0.2">
      <c r="A12" t="s">
        <v>1</v>
      </c>
      <c r="B12" s="6">
        <f>IRR(B3:B8)</f>
        <v>2.4901306822561367</v>
      </c>
      <c r="C12" s="6">
        <f t="shared" ref="C12:G12" si="0">IRR(C3:C8)</f>
        <v>0.28494462575658863</v>
      </c>
      <c r="D12" s="6">
        <f t="shared" si="0"/>
        <v>-0.17470987610592836</v>
      </c>
      <c r="E12" s="6">
        <f t="shared" si="0"/>
        <v>0.5629148168641176</v>
      </c>
      <c r="F12" s="6">
        <f t="shared" si="0"/>
        <v>0.10993087007623914</v>
      </c>
      <c r="G12" s="6">
        <f t="shared" si="0"/>
        <v>0.19086842037647478</v>
      </c>
    </row>
    <row r="13" spans="1:7" x14ac:dyDescent="0.2">
      <c r="E13" s="6">
        <f>IRR(E3:E8,60%)</f>
        <v>0.6087541131566272</v>
      </c>
      <c r="F13" s="6">
        <f>IRR(F3:F8,160%)</f>
        <v>1.7357065507165199</v>
      </c>
      <c r="G13" s="6">
        <f>IRR(G3:G8,-20%)</f>
        <v>-0.22738746870194726</v>
      </c>
    </row>
    <row r="17" spans="1:3" x14ac:dyDescent="0.2">
      <c r="A17" s="7" t="s">
        <v>62</v>
      </c>
    </row>
    <row r="18" spans="1:3" x14ac:dyDescent="0.2">
      <c r="B18" s="15">
        <f>NPV(A18,E4:E8)+E3</f>
        <v>103</v>
      </c>
      <c r="C18" t="str">
        <f ca="1">getformula(B18)</f>
        <v>&lt;-- =NPV(A18,E4:E8)+E3</v>
      </c>
    </row>
    <row r="19" spans="1:3" x14ac:dyDescent="0.2">
      <c r="A19" s="6">
        <v>0</v>
      </c>
      <c r="B19" s="8">
        <f t="dataTable" ref="B19:B37" dt2D="0" dtr="0" r1="A18"/>
        <v>103</v>
      </c>
    </row>
    <row r="20" spans="1:3" x14ac:dyDescent="0.2">
      <c r="A20" s="6">
        <v>0.1</v>
      </c>
      <c r="B20" s="8">
        <v>50.130859168834661</v>
      </c>
    </row>
    <row r="21" spans="1:3" x14ac:dyDescent="0.2">
      <c r="A21" s="6">
        <v>0.25</v>
      </c>
      <c r="B21" s="8">
        <v>15.214400000000001</v>
      </c>
    </row>
    <row r="22" spans="1:3" x14ac:dyDescent="0.2">
      <c r="A22" s="6">
        <v>0.4</v>
      </c>
      <c r="B22" s="8">
        <v>3.1222109835187872</v>
      </c>
    </row>
    <row r="23" spans="1:3" x14ac:dyDescent="0.2">
      <c r="A23" s="6">
        <v>0.5</v>
      </c>
      <c r="B23" s="8">
        <v>0.49794238683126935</v>
      </c>
    </row>
    <row r="24" spans="1:3" x14ac:dyDescent="0.2">
      <c r="A24" s="6">
        <v>0.52</v>
      </c>
      <c r="B24" s="8">
        <v>0.26520831002718737</v>
      </c>
    </row>
    <row r="25" spans="1:3" x14ac:dyDescent="0.2">
      <c r="A25" s="6">
        <v>0.54</v>
      </c>
      <c r="B25" s="8">
        <v>0.10503263596574186</v>
      </c>
    </row>
    <row r="26" spans="1:3" x14ac:dyDescent="0.2">
      <c r="A26" s="6">
        <v>0.56000000000000005</v>
      </c>
      <c r="B26" s="8">
        <v>9.0771102329156861E-3</v>
      </c>
    </row>
    <row r="27" spans="1:3" x14ac:dyDescent="0.2">
      <c r="A27" s="6">
        <v>0.57999999999999996</v>
      </c>
      <c r="B27" s="8">
        <v>-3.0085010801265355E-2</v>
      </c>
    </row>
    <row r="28" spans="1:3" x14ac:dyDescent="0.2">
      <c r="A28" s="6">
        <v>0.6</v>
      </c>
      <c r="B28" s="8">
        <v>-1.9073486328128553E-2</v>
      </c>
    </row>
    <row r="29" spans="1:3" x14ac:dyDescent="0.2">
      <c r="A29" s="6">
        <v>0.62</v>
      </c>
      <c r="B29" s="8">
        <v>3.6207221462792205E-2</v>
      </c>
    </row>
    <row r="30" spans="1:3" x14ac:dyDescent="0.2">
      <c r="A30" s="6">
        <v>0.64</v>
      </c>
      <c r="B30" s="8">
        <v>0.1304874048131488</v>
      </c>
    </row>
    <row r="31" spans="1:3" x14ac:dyDescent="0.2">
      <c r="A31" s="6">
        <v>0.66</v>
      </c>
      <c r="B31" s="8">
        <v>0.25906125818057291</v>
      </c>
    </row>
    <row r="32" spans="1:3" x14ac:dyDescent="0.2">
      <c r="A32" s="6">
        <v>0.68</v>
      </c>
      <c r="B32" s="8">
        <v>0.41772446524951334</v>
      </c>
    </row>
    <row r="33" spans="1:6" x14ac:dyDescent="0.2">
      <c r="A33" s="6">
        <v>0.7</v>
      </c>
      <c r="B33" s="8">
        <v>0.60271914706904184</v>
      </c>
    </row>
    <row r="34" spans="1:6" x14ac:dyDescent="0.2">
      <c r="A34" s="6">
        <v>0.72</v>
      </c>
      <c r="B34" s="8">
        <v>0.81068524071097059</v>
      </c>
    </row>
    <row r="35" spans="1:6" x14ac:dyDescent="0.2">
      <c r="A35" s="6">
        <v>0.74</v>
      </c>
      <c r="B35" s="8">
        <v>1.0386175038017456</v>
      </c>
    </row>
    <row r="36" spans="1:6" x14ac:dyDescent="0.2">
      <c r="A36" s="6">
        <v>0.76</v>
      </c>
      <c r="B36" s="8">
        <v>1.2838274480502285</v>
      </c>
    </row>
    <row r="37" spans="1:6" x14ac:dyDescent="0.2">
      <c r="A37" s="6">
        <v>0.78</v>
      </c>
      <c r="B37" s="8">
        <v>1.5439095972633154</v>
      </c>
    </row>
    <row r="39" spans="1:6" x14ac:dyDescent="0.2">
      <c r="A39" s="7" t="s">
        <v>63</v>
      </c>
      <c r="E39" s="7" t="s">
        <v>64</v>
      </c>
    </row>
    <row r="40" spans="1:6" x14ac:dyDescent="0.2">
      <c r="A40" s="6">
        <v>0</v>
      </c>
      <c r="B40" s="8">
        <f>F3+NPV(A40,F4:F8)</f>
        <v>-40</v>
      </c>
      <c r="E40" s="6">
        <v>0</v>
      </c>
      <c r="F40" s="8">
        <f>G3+NPV(E40,G4:G8)</f>
        <v>65</v>
      </c>
    </row>
    <row r="41" spans="1:6" x14ac:dyDescent="0.2">
      <c r="A41" s="6">
        <v>0</v>
      </c>
      <c r="B41" s="8">
        <f t="dataTable" ref="B41:B63" dt2D="0" dtr="0" r1="A40"/>
        <v>-40</v>
      </c>
      <c r="E41" s="22">
        <v>-0.3</v>
      </c>
      <c r="F41" s="14">
        <f t="dataTable" ref="F41:F63" dt2D="0" dtr="0" r1="E40"/>
        <v>-200.38674361873063</v>
      </c>
    </row>
    <row r="42" spans="1:6" x14ac:dyDescent="0.2">
      <c r="A42" s="6">
        <v>0.01</v>
      </c>
      <c r="B42" s="8">
        <v>-34.716157518216328</v>
      </c>
      <c r="E42" s="22">
        <v>-0.2</v>
      </c>
      <c r="F42" s="14">
        <v>36.181640625000114</v>
      </c>
    </row>
    <row r="43" spans="1:6" x14ac:dyDescent="0.2">
      <c r="A43" s="6">
        <v>0.02</v>
      </c>
      <c r="B43" s="8">
        <v>-29.842242691390727</v>
      </c>
      <c r="E43" s="6">
        <v>0.02</v>
      </c>
      <c r="F43" s="8">
        <v>59.028365144207953</v>
      </c>
    </row>
    <row r="44" spans="1:6" x14ac:dyDescent="0.2">
      <c r="A44" s="6">
        <v>0.03</v>
      </c>
      <c r="B44" s="8">
        <v>-25.346764590800252</v>
      </c>
      <c r="E44" s="6">
        <v>0.03</v>
      </c>
      <c r="F44" s="8">
        <v>55.868328474530756</v>
      </c>
    </row>
    <row r="45" spans="1:6" x14ac:dyDescent="0.2">
      <c r="A45" s="6">
        <v>0.04</v>
      </c>
      <c r="B45" s="8">
        <v>-21.200818827718248</v>
      </c>
      <c r="E45" s="6">
        <v>0.04</v>
      </c>
      <c r="F45" s="8">
        <v>52.615749219618976</v>
      </c>
    </row>
    <row r="46" spans="1:6" x14ac:dyDescent="0.2">
      <c r="A46" s="6">
        <v>0.05</v>
      </c>
      <c r="B46" s="8">
        <v>-17.377857452594814</v>
      </c>
      <c r="E46" s="6">
        <v>0.05</v>
      </c>
      <c r="F46" s="8">
        <v>49.286109721576508</v>
      </c>
    </row>
    <row r="47" spans="1:6" x14ac:dyDescent="0.2">
      <c r="A47" s="6">
        <v>0.06</v>
      </c>
      <c r="B47" s="8">
        <v>-13.853481020179219</v>
      </c>
      <c r="E47" s="6">
        <v>0.06</v>
      </c>
      <c r="F47" s="8">
        <v>45.893323388829458</v>
      </c>
    </row>
    <row r="48" spans="1:6" x14ac:dyDescent="0.2">
      <c r="A48" s="6">
        <v>7.0000000000000007E-2</v>
      </c>
      <c r="B48" s="8">
        <v>-10.605250517267049</v>
      </c>
      <c r="E48" s="6">
        <v>7.0000000000000007E-2</v>
      </c>
      <c r="F48" s="8">
        <v>42.449887139125394</v>
      </c>
    </row>
    <row r="49" spans="1:6" x14ac:dyDescent="0.2">
      <c r="A49" s="6">
        <v>0.08</v>
      </c>
      <c r="B49" s="8">
        <v>-7.6125171067036277</v>
      </c>
      <c r="E49" s="6">
        <v>0.08</v>
      </c>
      <c r="F49" s="8">
        <v>38.967018533188593</v>
      </c>
    </row>
    <row r="50" spans="1:6" x14ac:dyDescent="0.2">
      <c r="A50" s="6">
        <v>0.09</v>
      </c>
      <c r="B50" s="8">
        <v>-4.8562678675996622</v>
      </c>
      <c r="E50" s="6">
        <v>0.09</v>
      </c>
      <c r="F50" s="8">
        <v>35.454779220921068</v>
      </c>
    </row>
    <row r="51" spans="1:6" x14ac:dyDescent="0.2">
      <c r="A51" s="22">
        <v>0.1</v>
      </c>
      <c r="B51" s="14">
        <v>-2.3189859112951403</v>
      </c>
      <c r="E51" s="45">
        <v>0.1</v>
      </c>
      <c r="F51" s="46">
        <v>31.922186139794235</v>
      </c>
    </row>
    <row r="52" spans="1:6" x14ac:dyDescent="0.2">
      <c r="A52" s="22">
        <v>0.11</v>
      </c>
      <c r="B52" s="14">
        <v>1.5476571191989308E-2</v>
      </c>
      <c r="E52" s="22">
        <v>0.11</v>
      </c>
      <c r="F52" s="14">
        <v>28.377311744568317</v>
      </c>
    </row>
    <row r="53" spans="1:6" x14ac:dyDescent="0.2">
      <c r="A53" s="6">
        <v>0.3</v>
      </c>
      <c r="B53" s="8">
        <v>20.324851263018694</v>
      </c>
      <c r="E53" s="22">
        <v>0.3</v>
      </c>
      <c r="F53" s="14">
        <v>-35.14852151804638</v>
      </c>
    </row>
    <row r="54" spans="1:6" x14ac:dyDescent="0.2">
      <c r="A54" s="6">
        <v>0.6</v>
      </c>
      <c r="B54" s="8">
        <v>19.31610107421875</v>
      </c>
      <c r="E54" s="45">
        <v>0.6</v>
      </c>
      <c r="F54" s="46">
        <v>-106.36749267578131</v>
      </c>
    </row>
    <row r="55" spans="1:6" x14ac:dyDescent="0.2">
      <c r="A55" s="6">
        <v>0.9</v>
      </c>
      <c r="B55" s="8">
        <v>12.687023014830991</v>
      </c>
      <c r="E55" s="45">
        <v>0.9</v>
      </c>
      <c r="F55" s="46">
        <v>-149.17695132545185</v>
      </c>
    </row>
    <row r="56" spans="1:6" x14ac:dyDescent="0.2">
      <c r="A56" s="6">
        <v>1.2</v>
      </c>
      <c r="B56" s="8">
        <v>6.9822602778002008</v>
      </c>
      <c r="E56" s="45">
        <v>1.2</v>
      </c>
      <c r="F56" s="46">
        <v>-175.64358495135082</v>
      </c>
    </row>
    <row r="57" spans="1:6" x14ac:dyDescent="0.2">
      <c r="A57" s="22">
        <v>1.5</v>
      </c>
      <c r="B57" s="14">
        <v>2.6479999999999961</v>
      </c>
      <c r="E57" s="45">
        <v>1.5</v>
      </c>
      <c r="F57" s="46">
        <v>-192.83199999999999</v>
      </c>
    </row>
    <row r="58" spans="1:6" x14ac:dyDescent="0.2">
      <c r="A58" s="22">
        <v>1.8</v>
      </c>
      <c r="B58" s="14">
        <v>-0.63068959362169963</v>
      </c>
      <c r="E58" s="45">
        <v>1.8</v>
      </c>
      <c r="F58" s="46">
        <v>-204.53010650324268</v>
      </c>
    </row>
    <row r="59" spans="1:6" x14ac:dyDescent="0.2">
      <c r="A59" s="6">
        <v>2.1</v>
      </c>
      <c r="B59" s="8">
        <v>-3.1636276954213542</v>
      </c>
      <c r="E59" s="45">
        <v>2.1</v>
      </c>
      <c r="F59" s="46">
        <v>-212.82174591904595</v>
      </c>
    </row>
    <row r="60" spans="1:6" x14ac:dyDescent="0.2">
      <c r="A60" s="6">
        <v>2.4</v>
      </c>
      <c r="B60" s="8">
        <v>-5.1712249895588052</v>
      </c>
      <c r="E60" s="45">
        <v>2.4</v>
      </c>
      <c r="F60" s="46">
        <v>-218.90519608664815</v>
      </c>
    </row>
    <row r="61" spans="1:6" x14ac:dyDescent="0.2">
      <c r="A61" s="6">
        <v>2.7</v>
      </c>
      <c r="B61" s="8">
        <v>-6.8016038513637191</v>
      </c>
      <c r="E61" s="45">
        <v>2.7</v>
      </c>
      <c r="F61" s="46">
        <v>-223.50100961212814</v>
      </c>
    </row>
    <row r="62" spans="1:6" x14ac:dyDescent="0.2">
      <c r="A62" s="6">
        <v>3</v>
      </c>
      <c r="B62" s="8">
        <v>-8.154296875</v>
      </c>
      <c r="E62" s="6">
        <v>3</v>
      </c>
      <c r="F62" s="8">
        <v>-227.060546875</v>
      </c>
    </row>
    <row r="63" spans="1:6" x14ac:dyDescent="0.2">
      <c r="A63" s="6">
        <v>3.3</v>
      </c>
      <c r="B63" s="8">
        <v>-9.2973590299163948</v>
      </c>
      <c r="E63" s="6">
        <v>3.3</v>
      </c>
      <c r="F63" s="8">
        <v>-229.87699352750781</v>
      </c>
    </row>
  </sheetData>
  <mergeCells count="1">
    <mergeCell ref="A1:G1"/>
  </mergeCells>
  <printOptions headings="1" gridLines="1"/>
  <pageMargins left="0.7" right="0.7" top="0.75" bottom="0.75" header="0.3" footer="0.3"/>
  <pageSetup orientation="portrait" verticalDpi="4"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4"/>
  <sheetViews>
    <sheetView workbookViewId="0">
      <selection activeCell="J17" sqref="J17"/>
    </sheetView>
  </sheetViews>
  <sheetFormatPr defaultRowHeight="12.75" x14ac:dyDescent="0.2"/>
  <cols>
    <col min="1" max="1" width="10.5703125" bestFit="1" customWidth="1"/>
    <col min="3" max="3" width="27.5703125" bestFit="1" customWidth="1"/>
  </cols>
  <sheetData>
    <row r="1" spans="1:7" ht="18" x14ac:dyDescent="0.25">
      <c r="A1" s="47" t="s">
        <v>21</v>
      </c>
      <c r="B1" s="47"/>
      <c r="C1" s="47"/>
      <c r="D1" s="47"/>
      <c r="E1" s="47"/>
      <c r="F1" s="47"/>
      <c r="G1" s="47"/>
    </row>
    <row r="2" spans="1:7" x14ac:dyDescent="0.2">
      <c r="A2" s="5" t="s">
        <v>2</v>
      </c>
      <c r="B2" s="5" t="s">
        <v>22</v>
      </c>
    </row>
    <row r="3" spans="1:7" x14ac:dyDescent="0.2">
      <c r="A3" s="1">
        <v>0</v>
      </c>
      <c r="B3" s="20">
        <v>-800</v>
      </c>
    </row>
    <row r="4" spans="1:7" x14ac:dyDescent="0.2">
      <c r="A4" s="1">
        <v>1</v>
      </c>
      <c r="B4" s="20">
        <v>450</v>
      </c>
    </row>
    <row r="5" spans="1:7" x14ac:dyDescent="0.2">
      <c r="A5" s="1">
        <v>2</v>
      </c>
      <c r="B5" s="20">
        <v>450</v>
      </c>
    </row>
    <row r="6" spans="1:7" x14ac:dyDescent="0.2">
      <c r="A6" s="1">
        <v>3</v>
      </c>
      <c r="B6" s="20">
        <v>450</v>
      </c>
    </row>
    <row r="7" spans="1:7" x14ac:dyDescent="0.2">
      <c r="A7" s="1">
        <v>4</v>
      </c>
      <c r="B7" s="20">
        <v>450</v>
      </c>
    </row>
    <row r="8" spans="1:7" x14ac:dyDescent="0.2">
      <c r="A8" s="1">
        <v>5</v>
      </c>
      <c r="B8" s="20">
        <v>450</v>
      </c>
    </row>
    <row r="9" spans="1:7" x14ac:dyDescent="0.2">
      <c r="A9" s="1">
        <v>6</v>
      </c>
      <c r="B9" s="20">
        <v>-1500</v>
      </c>
    </row>
    <row r="11" spans="1:7" x14ac:dyDescent="0.2">
      <c r="A11" s="21" t="s">
        <v>23</v>
      </c>
      <c r="B11" s="10">
        <f>IRR(B3:B9,0)</f>
        <v>2.6843898878733619E-2</v>
      </c>
      <c r="C11" t="str">
        <f ca="1">getformula(B11)</f>
        <v>&lt;-- =IRR(B3:B9,0)</v>
      </c>
    </row>
    <row r="12" spans="1:7" x14ac:dyDescent="0.2">
      <c r="A12" s="21" t="s">
        <v>24</v>
      </c>
      <c r="B12" s="10">
        <f>IRR(B3:B9,25%)</f>
        <v>0.27741685573861674</v>
      </c>
      <c r="C12" t="str">
        <f ca="1">getformula(B12)</f>
        <v>&lt;-- =IRR(B3:B9,25%)</v>
      </c>
    </row>
    <row r="14" spans="1:7" x14ac:dyDescent="0.2">
      <c r="A14" s="50" t="s">
        <v>65</v>
      </c>
      <c r="B14" s="50"/>
      <c r="C14" s="50"/>
    </row>
    <row r="15" spans="1:7" ht="25.5" x14ac:dyDescent="0.2">
      <c r="A15" s="2" t="s">
        <v>10</v>
      </c>
      <c r="B15" s="2" t="s">
        <v>0</v>
      </c>
    </row>
    <row r="16" spans="1:7" x14ac:dyDescent="0.2">
      <c r="A16" s="28">
        <v>0</v>
      </c>
      <c r="B16" s="8">
        <f>$B$3+NPV(A16,$B$4:$B$9)</f>
        <v>-50</v>
      </c>
      <c r="C16" t="str">
        <f ca="1">getformula(B16)</f>
        <v>&lt;-- =$B$3+NPV(A16,$B$4:$B$9)</v>
      </c>
    </row>
    <row r="17" spans="1:3" x14ac:dyDescent="0.2">
      <c r="A17" s="3">
        <v>0.02</v>
      </c>
      <c r="B17" s="8">
        <f t="shared" ref="B17:B34" si="0">$B$3+NPV(A17,$B$4:$B$9)</f>
        <v>-10.900294452395769</v>
      </c>
      <c r="C17" t="str">
        <f t="shared" ref="C17:C19" ca="1" si="1">getformula(B17)</f>
        <v>&lt;-- =$B$3+NPV(A17,$B$4:$B$9)</v>
      </c>
    </row>
    <row r="18" spans="1:3" x14ac:dyDescent="0.2">
      <c r="A18" s="28">
        <v>0.04</v>
      </c>
      <c r="B18" s="8">
        <f t="shared" si="0"/>
        <v>17.848260362074143</v>
      </c>
      <c r="C18" t="str">
        <f t="shared" ca="1" si="1"/>
        <v>&lt;-- =$B$3+NPV(A18,$B$4:$B$9)</v>
      </c>
    </row>
    <row r="19" spans="1:3" x14ac:dyDescent="0.2">
      <c r="A19" s="3">
        <v>0.06</v>
      </c>
      <c r="B19" s="8">
        <f t="shared" si="0"/>
        <v>38.122892845056299</v>
      </c>
      <c r="C19" t="str">
        <f t="shared" ca="1" si="1"/>
        <v>&lt;-- =$B$3+NPV(A19,$B$4:$B$9)</v>
      </c>
    </row>
    <row r="20" spans="1:3" x14ac:dyDescent="0.2">
      <c r="A20" s="28">
        <v>0.08</v>
      </c>
      <c r="B20" s="8">
        <f t="shared" si="0"/>
        <v>51.465076360481135</v>
      </c>
    </row>
    <row r="21" spans="1:3" x14ac:dyDescent="0.2">
      <c r="A21" s="3">
        <v>0.1</v>
      </c>
      <c r="B21" s="8">
        <f t="shared" si="0"/>
        <v>59.143151153135591</v>
      </c>
    </row>
    <row r="22" spans="1:3" x14ac:dyDescent="0.2">
      <c r="A22" s="28">
        <v>0.12</v>
      </c>
      <c r="B22" s="8">
        <f t="shared" si="0"/>
        <v>62.20260928927064</v>
      </c>
    </row>
    <row r="23" spans="1:3" x14ac:dyDescent="0.2">
      <c r="A23" s="3">
        <v>0.14000000000000001</v>
      </c>
      <c r="B23" s="8">
        <f t="shared" si="0"/>
        <v>61.506614460234118</v>
      </c>
    </row>
    <row r="24" spans="1:3" x14ac:dyDescent="0.2">
      <c r="A24" s="28">
        <v>0.16</v>
      </c>
      <c r="B24" s="8">
        <f t="shared" si="0"/>
        <v>57.768762146432323</v>
      </c>
    </row>
    <row r="25" spans="1:3" x14ac:dyDescent="0.2">
      <c r="A25" s="3">
        <v>0.18</v>
      </c>
      <c r="B25" s="8">
        <f t="shared" si="0"/>
        <v>51.579650656321746</v>
      </c>
    </row>
    <row r="26" spans="1:3" x14ac:dyDescent="0.2">
      <c r="A26" s="28">
        <v>0.2</v>
      </c>
      <c r="B26" s="8">
        <f t="shared" si="0"/>
        <v>43.428497942386912</v>
      </c>
    </row>
    <row r="27" spans="1:3" x14ac:dyDescent="0.2">
      <c r="A27" s="3">
        <v>0.22</v>
      </c>
      <c r="B27" s="8">
        <f t="shared" si="0"/>
        <v>33.720779016992424</v>
      </c>
    </row>
    <row r="28" spans="1:3" x14ac:dyDescent="0.2">
      <c r="A28" s="28">
        <v>0.24</v>
      </c>
      <c r="B28" s="8">
        <f t="shared" si="0"/>
        <v>22.792656394627556</v>
      </c>
    </row>
    <row r="29" spans="1:3" x14ac:dyDescent="0.2">
      <c r="A29" s="3">
        <v>0.26</v>
      </c>
      <c r="B29" s="8">
        <f t="shared" si="0"/>
        <v>10.922817839236245</v>
      </c>
    </row>
    <row r="30" spans="1:3" x14ac:dyDescent="0.2">
      <c r="A30" s="28">
        <v>0.28000000000000003</v>
      </c>
      <c r="B30" s="8">
        <f t="shared" si="0"/>
        <v>-1.6577883623540401</v>
      </c>
    </row>
    <row r="31" spans="1:3" x14ac:dyDescent="0.2">
      <c r="A31" s="3">
        <v>0.3</v>
      </c>
      <c r="B31" s="8">
        <f t="shared" si="0"/>
        <v>-14.757928063861527</v>
      </c>
    </row>
    <row r="32" spans="1:3" x14ac:dyDescent="0.2">
      <c r="A32" s="28">
        <v>0.32</v>
      </c>
      <c r="B32" s="8">
        <f t="shared" si="0"/>
        <v>-28.219450520495343</v>
      </c>
    </row>
    <row r="33" spans="1:2" x14ac:dyDescent="0.2">
      <c r="A33" s="3">
        <v>0.34</v>
      </c>
      <c r="B33" s="8">
        <f t="shared" si="0"/>
        <v>-41.911798130735065</v>
      </c>
    </row>
    <row r="34" spans="1:2" x14ac:dyDescent="0.2">
      <c r="A34" s="28">
        <v>0.36</v>
      </c>
      <c r="B34" s="8">
        <f t="shared" si="0"/>
        <v>-55.727451260729595</v>
      </c>
    </row>
  </sheetData>
  <mergeCells count="2">
    <mergeCell ref="A14:C14"/>
    <mergeCell ref="A1:G1"/>
  </mergeCells>
  <printOptions headings="1" gridLines="1"/>
  <pageMargins left="0.7" right="0.7" top="0.75" bottom="0.75" header="0.3" footer="0.3"/>
  <pageSetup orientation="portrait" verticalDpi="4"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D13"/>
  <sheetViews>
    <sheetView workbookViewId="0">
      <selection activeCell="A2" sqref="A2"/>
    </sheetView>
  </sheetViews>
  <sheetFormatPr defaultColWidth="9" defaultRowHeight="12.75" x14ac:dyDescent="0.2"/>
  <cols>
    <col min="1" max="1" width="13.28515625" style="23" bestFit="1" customWidth="1"/>
    <col min="2" max="2" width="13.85546875" style="23" customWidth="1"/>
    <col min="3" max="3" width="13.7109375" style="23" customWidth="1"/>
    <col min="4" max="4" width="24.85546875" style="23" bestFit="1" customWidth="1"/>
    <col min="5" max="16384" width="9" style="23"/>
  </cols>
  <sheetData>
    <row r="1" spans="1:4" ht="18" x14ac:dyDescent="0.25">
      <c r="A1" s="49" t="s">
        <v>25</v>
      </c>
      <c r="B1" s="49"/>
      <c r="C1" s="49"/>
      <c r="D1" s="49"/>
    </row>
    <row r="2" spans="1:4" x14ac:dyDescent="0.2">
      <c r="A2" s="23" t="s">
        <v>3</v>
      </c>
      <c r="B2" s="27">
        <v>0.12</v>
      </c>
    </row>
    <row r="4" spans="1:4" s="29" customFormat="1" x14ac:dyDescent="0.2">
      <c r="A4" s="25" t="s">
        <v>2</v>
      </c>
      <c r="B4" s="25" t="s">
        <v>26</v>
      </c>
      <c r="C4" s="25" t="s">
        <v>27</v>
      </c>
    </row>
    <row r="5" spans="1:4" x14ac:dyDescent="0.2">
      <c r="A5" s="24">
        <v>0</v>
      </c>
      <c r="B5" s="30">
        <v>-100</v>
      </c>
      <c r="C5" s="30">
        <v>-250</v>
      </c>
    </row>
    <row r="6" spans="1:4" x14ac:dyDescent="0.2">
      <c r="A6" s="24">
        <v>1</v>
      </c>
      <c r="B6" s="30">
        <v>150</v>
      </c>
      <c r="C6" s="30">
        <v>300</v>
      </c>
    </row>
    <row r="7" spans="1:4" x14ac:dyDescent="0.2">
      <c r="A7" s="24">
        <v>2</v>
      </c>
      <c r="B7" s="30">
        <f>B6</f>
        <v>150</v>
      </c>
      <c r="C7" s="30">
        <f>C6</f>
        <v>300</v>
      </c>
    </row>
    <row r="8" spans="1:4" x14ac:dyDescent="0.2">
      <c r="A8" s="24">
        <v>3</v>
      </c>
      <c r="B8" s="30">
        <f>B7</f>
        <v>150</v>
      </c>
      <c r="C8" s="30">
        <f>C7</f>
        <v>300</v>
      </c>
    </row>
    <row r="9" spans="1:4" x14ac:dyDescent="0.2">
      <c r="A9" s="24">
        <v>4</v>
      </c>
      <c r="B9" s="30">
        <f>B8</f>
        <v>150</v>
      </c>
    </row>
    <row r="10" spans="1:4" x14ac:dyDescent="0.2">
      <c r="A10" s="24">
        <v>5</v>
      </c>
      <c r="B10" s="30">
        <f>B9</f>
        <v>150</v>
      </c>
    </row>
    <row r="11" spans="1:4" x14ac:dyDescent="0.2">
      <c r="A11" s="24">
        <v>6</v>
      </c>
      <c r="B11" s="30">
        <f>B10</f>
        <v>150</v>
      </c>
    </row>
    <row r="13" spans="1:4" x14ac:dyDescent="0.2">
      <c r="A13" s="23" t="s">
        <v>0</v>
      </c>
      <c r="B13" s="31">
        <f>B5+NPV($B$2,B6:B11)</f>
        <v>516.71109852834866</v>
      </c>
      <c r="C13" s="31">
        <f>C5+NPV($B$2,C6:C11)</f>
        <v>470.54938046647214</v>
      </c>
      <c r="D13" s="23" t="str">
        <f ca="1">getformula(C13)</f>
        <v>&lt;-- =C5+NPV($B$2,C6:C11)</v>
      </c>
    </row>
  </sheetData>
  <mergeCells count="1">
    <mergeCell ref="A1:D1"/>
  </mergeCells>
  <printOptions headings="1" gridLines="1"/>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D13"/>
  <sheetViews>
    <sheetView workbookViewId="0">
      <selection activeCell="A2" sqref="A2"/>
    </sheetView>
  </sheetViews>
  <sheetFormatPr defaultColWidth="9" defaultRowHeight="12.75" x14ac:dyDescent="0.2"/>
  <cols>
    <col min="1" max="1" width="13.28515625" style="23" bestFit="1" customWidth="1"/>
    <col min="2" max="2" width="13.85546875" style="23" customWidth="1"/>
    <col min="3" max="3" width="13.7109375" style="23" customWidth="1"/>
    <col min="4" max="4" width="24.85546875" style="23" bestFit="1" customWidth="1"/>
    <col min="5" max="16384" width="9" style="23"/>
  </cols>
  <sheetData>
    <row r="1" spans="1:4" ht="37.15" customHeight="1" x14ac:dyDescent="0.2">
      <c r="A1" s="51" t="s">
        <v>28</v>
      </c>
      <c r="B1" s="52"/>
      <c r="C1" s="52"/>
      <c r="D1" s="52"/>
    </row>
    <row r="2" spans="1:4" x14ac:dyDescent="0.2">
      <c r="A2" s="23" t="s">
        <v>3</v>
      </c>
      <c r="B2" s="27">
        <v>0.12</v>
      </c>
    </row>
    <row r="4" spans="1:4" s="29" customFormat="1" x14ac:dyDescent="0.2">
      <c r="A4" s="25" t="s">
        <v>2</v>
      </c>
      <c r="B4" s="25" t="s">
        <v>29</v>
      </c>
      <c r="C4" s="25" t="s">
        <v>30</v>
      </c>
    </row>
    <row r="5" spans="1:4" x14ac:dyDescent="0.2">
      <c r="A5" s="24">
        <v>0</v>
      </c>
      <c r="B5" s="23">
        <v>-100</v>
      </c>
      <c r="C5" s="23">
        <v>-250</v>
      </c>
    </row>
    <row r="6" spans="1:4" x14ac:dyDescent="0.2">
      <c r="A6" s="24">
        <v>1</v>
      </c>
      <c r="B6" s="23">
        <v>150</v>
      </c>
      <c r="C6" s="23">
        <v>300</v>
      </c>
    </row>
    <row r="7" spans="1:4" x14ac:dyDescent="0.2">
      <c r="A7" s="24">
        <v>2</v>
      </c>
      <c r="B7" s="23">
        <f>B6</f>
        <v>150</v>
      </c>
      <c r="C7" s="23">
        <f>C6</f>
        <v>300</v>
      </c>
    </row>
    <row r="8" spans="1:4" x14ac:dyDescent="0.2">
      <c r="A8" s="24">
        <v>3</v>
      </c>
      <c r="B8" s="23">
        <f>B7</f>
        <v>150</v>
      </c>
      <c r="C8" s="23">
        <f>300-250</f>
        <v>50</v>
      </c>
      <c r="D8" s="23" t="str">
        <f ca="1">getformula(C8)</f>
        <v>&lt;-- =300-250</v>
      </c>
    </row>
    <row r="9" spans="1:4" x14ac:dyDescent="0.2">
      <c r="A9" s="24">
        <v>4</v>
      </c>
      <c r="B9" s="23">
        <f>B8</f>
        <v>150</v>
      </c>
      <c r="C9" s="23">
        <v>300</v>
      </c>
    </row>
    <row r="10" spans="1:4" x14ac:dyDescent="0.2">
      <c r="A10" s="24">
        <v>5</v>
      </c>
      <c r="B10" s="23">
        <f>B9</f>
        <v>150</v>
      </c>
      <c r="C10" s="23">
        <v>300</v>
      </c>
    </row>
    <row r="11" spans="1:4" x14ac:dyDescent="0.2">
      <c r="A11" s="24">
        <v>6</v>
      </c>
      <c r="B11" s="23">
        <f>B10</f>
        <v>150</v>
      </c>
      <c r="C11" s="23">
        <v>300</v>
      </c>
    </row>
    <row r="13" spans="1:4" x14ac:dyDescent="0.2">
      <c r="A13" s="23" t="s">
        <v>0</v>
      </c>
      <c r="B13" s="32">
        <f>B5+NPV($B$2,B6:B11)</f>
        <v>516.71109852834866</v>
      </c>
      <c r="C13" s="32">
        <f>C5+NPV($B$2,C6:C11)</f>
        <v>805.47713510334461</v>
      </c>
      <c r="D13" s="23" t="str">
        <f ca="1">getformula(C13)</f>
        <v>&lt;-- =C5+NPV($B$2,C6:C11)</v>
      </c>
    </row>
  </sheetData>
  <mergeCells count="1">
    <mergeCell ref="A1:D1"/>
  </mergeCells>
  <printOptions headings="1" gridLines="1"/>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D18"/>
  <sheetViews>
    <sheetView workbookViewId="0">
      <selection activeCell="A2" sqref="A2"/>
    </sheetView>
  </sheetViews>
  <sheetFormatPr defaultColWidth="9" defaultRowHeight="12.75" x14ac:dyDescent="0.2"/>
  <cols>
    <col min="1" max="1" width="17.140625" style="23" customWidth="1"/>
    <col min="2" max="2" width="13.85546875" style="23" customWidth="1"/>
    <col min="3" max="3" width="13.7109375" style="23" customWidth="1"/>
    <col min="4" max="4" width="24.85546875" style="23" bestFit="1" customWidth="1"/>
    <col min="5" max="16384" width="9" style="23"/>
  </cols>
  <sheetData>
    <row r="1" spans="1:4" ht="39.75" customHeight="1" x14ac:dyDescent="0.2">
      <c r="A1" s="51" t="s">
        <v>31</v>
      </c>
      <c r="B1" s="52"/>
      <c r="C1" s="52"/>
      <c r="D1" s="52"/>
    </row>
    <row r="2" spans="1:4" x14ac:dyDescent="0.2">
      <c r="A2" s="23" t="s">
        <v>3</v>
      </c>
      <c r="B2" s="27">
        <v>0.12</v>
      </c>
    </row>
    <row r="4" spans="1:4" s="29" customFormat="1" x14ac:dyDescent="0.2">
      <c r="A4" s="25" t="s">
        <v>2</v>
      </c>
      <c r="B4" s="25" t="s">
        <v>29</v>
      </c>
      <c r="C4" s="25" t="s">
        <v>30</v>
      </c>
    </row>
    <row r="5" spans="1:4" x14ac:dyDescent="0.2">
      <c r="A5" s="24">
        <v>0</v>
      </c>
      <c r="B5" s="23">
        <v>-100</v>
      </c>
      <c r="C5" s="23">
        <v>-250</v>
      </c>
    </row>
    <row r="6" spans="1:4" x14ac:dyDescent="0.2">
      <c r="A6" s="24">
        <v>1</v>
      </c>
      <c r="B6" s="23">
        <v>150</v>
      </c>
      <c r="C6" s="23">
        <f>300</f>
        <v>300</v>
      </c>
    </row>
    <row r="7" spans="1:4" x14ac:dyDescent="0.2">
      <c r="A7" s="24">
        <v>2</v>
      </c>
      <c r="B7" s="23">
        <f>B6</f>
        <v>150</v>
      </c>
      <c r="C7" s="23">
        <f>C6</f>
        <v>300</v>
      </c>
    </row>
    <row r="8" spans="1:4" x14ac:dyDescent="0.2">
      <c r="A8" s="24">
        <v>3</v>
      </c>
      <c r="B8" s="23">
        <f>B7</f>
        <v>150</v>
      </c>
      <c r="C8" s="23">
        <f>C7</f>
        <v>300</v>
      </c>
    </row>
    <row r="9" spans="1:4" x14ac:dyDescent="0.2">
      <c r="A9" s="24">
        <v>4</v>
      </c>
      <c r="B9" s="23">
        <f>B8</f>
        <v>150</v>
      </c>
    </row>
    <row r="10" spans="1:4" x14ac:dyDescent="0.2">
      <c r="A10" s="24">
        <v>5</v>
      </c>
      <c r="B10" s="23">
        <f>B9</f>
        <v>150</v>
      </c>
    </row>
    <row r="11" spans="1:4" x14ac:dyDescent="0.2">
      <c r="A11" s="24">
        <v>6</v>
      </c>
      <c r="B11" s="23">
        <f>B10</f>
        <v>150</v>
      </c>
    </row>
    <row r="13" spans="1:4" x14ac:dyDescent="0.2">
      <c r="A13" s="23" t="s">
        <v>0</v>
      </c>
      <c r="B13" s="32">
        <f>B5+NPV($B$2,B6:B11)</f>
        <v>516.71109852834866</v>
      </c>
      <c r="C13" s="32">
        <f>C5+NPV($B$2,C6:C11)</f>
        <v>470.54938046647214</v>
      </c>
      <c r="D13" s="23" t="str">
        <f ca="1">getformula(C13)</f>
        <v>&lt;-- =C5+NPV($B$2,C6:C11)</v>
      </c>
    </row>
    <row r="14" spans="1:4" ht="25.5" x14ac:dyDescent="0.2">
      <c r="A14" s="33" t="s">
        <v>32</v>
      </c>
      <c r="B14" s="34">
        <f>-PMT(B2,6,B13)</f>
        <v>125.67742815753701</v>
      </c>
      <c r="C14" s="34">
        <f>-PMT(B2,3,C13)</f>
        <v>195.91275486012321</v>
      </c>
      <c r="D14" s="23" t="str">
        <f ca="1">getformula(C14)</f>
        <v>&lt;-- =-PMT(B2,3,C13)</v>
      </c>
    </row>
    <row r="16" spans="1:4" x14ac:dyDescent="0.2">
      <c r="A16" s="26" t="str">
        <f ca="1">ggetformula(B14)</f>
        <v>=-PMT(B2,6,B13)</v>
      </c>
    </row>
    <row r="18" spans="2:3" x14ac:dyDescent="0.2">
      <c r="B18" s="35"/>
      <c r="C18" s="35"/>
    </row>
  </sheetData>
  <mergeCells count="1">
    <mergeCell ref="A1:D1"/>
  </mergeCells>
  <printOptions headings="1" gridLines="1"/>
  <pageMargins left="0.75" right="0.75" top="1" bottom="1" header="0.5" footer="0.5"/>
  <pageSetup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24"/>
  <sheetViews>
    <sheetView workbookViewId="0">
      <selection activeCell="A25" sqref="A25"/>
    </sheetView>
  </sheetViews>
  <sheetFormatPr defaultColWidth="9" defaultRowHeight="12.75" x14ac:dyDescent="0.2"/>
  <cols>
    <col min="1" max="1" width="31" style="23" customWidth="1"/>
    <col min="2" max="2" width="14.140625" style="23" customWidth="1"/>
    <col min="3" max="3" width="25.42578125" style="23" bestFit="1" customWidth="1"/>
    <col min="4" max="16384" width="9" style="23"/>
  </cols>
  <sheetData>
    <row r="1" spans="1:3" ht="57.6" customHeight="1" x14ac:dyDescent="0.2">
      <c r="A1" s="51" t="s">
        <v>92</v>
      </c>
      <c r="B1" s="52"/>
      <c r="C1" s="52"/>
    </row>
    <row r="2" spans="1:3" x14ac:dyDescent="0.2">
      <c r="A2" s="23" t="s">
        <v>33</v>
      </c>
      <c r="B2" s="27">
        <v>0.08</v>
      </c>
    </row>
    <row r="3" spans="1:3" x14ac:dyDescent="0.2">
      <c r="A3" s="23" t="s">
        <v>34</v>
      </c>
      <c r="B3" s="36">
        <f>(1+B2)^(1/12)-1</f>
        <v>6.4340301100034303E-3</v>
      </c>
      <c r="C3" s="23" t="str">
        <f ca="1">getformula(B3)</f>
        <v>&lt;-- =(1+B2)^(1/12)-1</v>
      </c>
    </row>
    <row r="4" spans="1:3" ht="25.5" x14ac:dyDescent="0.2">
      <c r="A4" s="37" t="s">
        <v>35</v>
      </c>
      <c r="B4" s="38">
        <v>0.1</v>
      </c>
    </row>
    <row r="6" spans="1:3" x14ac:dyDescent="0.2">
      <c r="A6" s="29" t="s">
        <v>36</v>
      </c>
    </row>
    <row r="7" spans="1:3" x14ac:dyDescent="0.2">
      <c r="A7" s="23" t="s">
        <v>37</v>
      </c>
      <c r="B7" s="23">
        <v>100</v>
      </c>
    </row>
    <row r="8" spans="1:3" x14ac:dyDescent="0.2">
      <c r="A8" s="23" t="s">
        <v>38</v>
      </c>
      <c r="B8" s="35">
        <v>1</v>
      </c>
    </row>
    <row r="9" spans="1:3" x14ac:dyDescent="0.2">
      <c r="A9" s="23" t="s">
        <v>39</v>
      </c>
      <c r="B9" s="23">
        <v>250</v>
      </c>
    </row>
    <row r="10" spans="1:3" x14ac:dyDescent="0.2">
      <c r="A10" s="23" t="s">
        <v>40</v>
      </c>
      <c r="B10" s="30">
        <v>1000</v>
      </c>
    </row>
    <row r="11" spans="1:3" x14ac:dyDescent="0.2">
      <c r="A11" s="23" t="s">
        <v>41</v>
      </c>
      <c r="B11" s="30">
        <f>B10/B9</f>
        <v>4</v>
      </c>
    </row>
    <row r="12" spans="1:3" x14ac:dyDescent="0.2">
      <c r="A12" s="23" t="s">
        <v>42</v>
      </c>
      <c r="B12" s="39">
        <f>B9*$B$4*B7/1000</f>
        <v>2.5</v>
      </c>
      <c r="C12" s="23" t="str">
        <f ca="1">getformula(B12)</f>
        <v>&lt;-- =B9*$B$4*B7/1000</v>
      </c>
    </row>
    <row r="13" spans="1:3" x14ac:dyDescent="0.2">
      <c r="A13" s="23" t="s">
        <v>43</v>
      </c>
      <c r="B13" s="38">
        <f>B8+PV(B3,B11,-B12)</f>
        <v>10.841196016604345</v>
      </c>
      <c r="C13" s="23" t="str">
        <f ca="1">getformula(B13)</f>
        <v>&lt;-- =B8+PV(B3,B11,-B12)</v>
      </c>
    </row>
    <row r="14" spans="1:3" ht="31.9" customHeight="1" x14ac:dyDescent="0.2">
      <c r="A14" s="40" t="s">
        <v>44</v>
      </c>
      <c r="B14" s="41">
        <f>-PMT(B3,B11,B13)</f>
        <v>2.7540341637116041</v>
      </c>
      <c r="C14" s="23" t="str">
        <f ca="1">getformula(B14)</f>
        <v>&lt;-- =-PMT(B3,B11,B13)</v>
      </c>
    </row>
    <row r="15" spans="1:3" x14ac:dyDescent="0.2">
      <c r="B15" s="39"/>
    </row>
    <row r="16" spans="1:3" x14ac:dyDescent="0.2">
      <c r="A16" s="29" t="s">
        <v>93</v>
      </c>
    </row>
    <row r="17" spans="1:3" x14ac:dyDescent="0.2">
      <c r="A17" s="23" t="s">
        <v>37</v>
      </c>
      <c r="B17" s="23">
        <v>15</v>
      </c>
    </row>
    <row r="18" spans="1:3" x14ac:dyDescent="0.2">
      <c r="A18" s="23" t="s">
        <v>38</v>
      </c>
      <c r="B18" s="35">
        <v>5</v>
      </c>
    </row>
    <row r="19" spans="1:3" x14ac:dyDescent="0.2">
      <c r="A19" s="23" t="s">
        <v>39</v>
      </c>
      <c r="B19" s="23">
        <f>B9</f>
        <v>250</v>
      </c>
    </row>
    <row r="20" spans="1:3" x14ac:dyDescent="0.2">
      <c r="A20" s="23" t="s">
        <v>40</v>
      </c>
      <c r="B20" s="30">
        <v>10000</v>
      </c>
    </row>
    <row r="21" spans="1:3" x14ac:dyDescent="0.2">
      <c r="A21" s="23" t="s">
        <v>41</v>
      </c>
      <c r="B21" s="30">
        <f>B20/B19</f>
        <v>40</v>
      </c>
    </row>
    <row r="22" spans="1:3" x14ac:dyDescent="0.2">
      <c r="A22" s="23" t="s">
        <v>42</v>
      </c>
      <c r="B22" s="39">
        <f>B19*$B$4*B17/1000</f>
        <v>0.375</v>
      </c>
      <c r="C22" s="23" t="str">
        <f ca="1">getformula(B22)</f>
        <v>&lt;-- =B19*$B$4*B17/1000</v>
      </c>
    </row>
    <row r="23" spans="1:3" x14ac:dyDescent="0.2">
      <c r="A23" s="23" t="s">
        <v>43</v>
      </c>
      <c r="B23" s="38">
        <f>B18+PV(B3,B21,-B22)</f>
        <v>18.188088073996234</v>
      </c>
      <c r="C23" s="23" t="str">
        <f ca="1">getformula(B23)</f>
        <v>&lt;-- =B18+PV(B3,B21,-B22)</v>
      </c>
    </row>
    <row r="24" spans="1:3" ht="30" customHeight="1" x14ac:dyDescent="0.2">
      <c r="A24" s="40" t="s">
        <v>94</v>
      </c>
      <c r="B24" s="41">
        <f>-PMT(B3,B21,B23)</f>
        <v>0.51717375479142147</v>
      </c>
      <c r="C24" s="23" t="str">
        <f ca="1">getformula(B24)</f>
        <v>&lt;-- =-PMT(B3,B21,B23)</v>
      </c>
    </row>
  </sheetData>
  <mergeCells count="1">
    <mergeCell ref="A1:C1"/>
  </mergeCells>
  <printOptions headings="1" gridLines="1"/>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Page 63</vt:lpstr>
      <vt:lpstr>Page 64</vt:lpstr>
      <vt:lpstr>Page 67</vt:lpstr>
      <vt:lpstr>Page 70</vt:lpstr>
      <vt:lpstr>Page 70 bottom</vt:lpstr>
      <vt:lpstr>Page 75</vt:lpstr>
      <vt:lpstr>Page 76</vt:lpstr>
      <vt:lpstr>Brian1</vt:lpstr>
      <vt:lpstr>Page 80</vt:lpstr>
      <vt:lpstr>Brian2</vt:lpstr>
      <vt:lpstr>Page 85</vt:lpstr>
      <vt:lpstr>Page 87</vt:lpstr>
      <vt:lpstr>Page 92</vt:lpstr>
      <vt:lpstr>Page 92 bottom</vt:lpstr>
      <vt:lpstr>Page 94</vt:lpstr>
      <vt:lpstr>Page 95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2019-05-15T20:24:49Z</dcterms:created>
  <dcterms:modified xsi:type="dcterms:W3CDTF">2019-05-15T21:16:09Z</dcterms:modified>
</cp:coreProperties>
</file>