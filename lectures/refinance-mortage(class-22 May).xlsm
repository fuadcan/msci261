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mily\Downloads\PFE\ch04\"/>
    </mc:Choice>
  </mc:AlternateContent>
  <bookViews>
    <workbookView xWindow="300" yWindow="90" windowWidth="15480" windowHeight="8790"/>
  </bookViews>
  <sheets>
    <sheet name="show class" sheetId="47" r:id="rId1"/>
  </sheets>
  <functionGroups builtInGroupCount="18"/>
  <calcPr calcId="162913" iterate="1"/>
</workbook>
</file>

<file path=xl/calcChain.xml><?xml version="1.0" encoding="utf-8"?>
<calcChain xmlns="http://schemas.openxmlformats.org/spreadsheetml/2006/main">
  <c r="D17" i="47" l="1"/>
  <c r="C17" i="47"/>
  <c r="D16" i="47"/>
  <c r="E16" i="47" s="1"/>
  <c r="C16" i="47"/>
  <c r="D15" i="47"/>
  <c r="C15" i="47"/>
  <c r="D14" i="47"/>
  <c r="E14" i="47" s="1"/>
  <c r="C14" i="47"/>
  <c r="D13" i="47"/>
  <c r="C13" i="47"/>
  <c r="D12" i="47"/>
  <c r="E12" i="47" s="1"/>
  <c r="C12" i="47"/>
  <c r="D11" i="47"/>
  <c r="C11" i="47"/>
  <c r="D10" i="47"/>
  <c r="E10" i="47" s="1"/>
  <c r="C10" i="47"/>
  <c r="D9" i="47"/>
  <c r="C9" i="47"/>
  <c r="D8" i="47"/>
  <c r="E8" i="47" s="1"/>
  <c r="C8" i="47"/>
  <c r="B8" i="47"/>
  <c r="F8" i="47" s="1"/>
  <c r="B9" i="47" s="1"/>
  <c r="F9" i="47" s="1"/>
  <c r="B10" i="47" s="1"/>
  <c r="F10" i="47" s="1"/>
  <c r="B11" i="47" s="1"/>
  <c r="F11" i="47" s="1"/>
  <c r="B12" i="47" s="1"/>
  <c r="F12" i="47" s="1"/>
  <c r="B13" i="47" s="1"/>
  <c r="F13" i="47" s="1"/>
  <c r="B14" i="47" s="1"/>
  <c r="F14" i="47" s="1"/>
  <c r="B15" i="47" s="1"/>
  <c r="F15" i="47" s="1"/>
  <c r="B16" i="47" s="1"/>
  <c r="F16" i="47" s="1"/>
  <c r="B17" i="47" s="1"/>
  <c r="F17" i="47" s="1"/>
  <c r="B5" i="47"/>
  <c r="E9" i="47" l="1"/>
  <c r="E11" i="47"/>
  <c r="E13" i="47"/>
  <c r="E15" i="47"/>
  <c r="E17" i="47"/>
</calcChain>
</file>

<file path=xl/sharedStrings.xml><?xml version="1.0" encoding="utf-8"?>
<sst xmlns="http://schemas.openxmlformats.org/spreadsheetml/2006/main" count="12" uniqueCount="12">
  <si>
    <t>Loan period in years</t>
  </si>
  <si>
    <t>Loan amount</t>
  </si>
  <si>
    <t>Annual interest rate, r</t>
  </si>
  <si>
    <t>A.  Loan balance at beginning of year</t>
  </si>
  <si>
    <t>Annual payment</t>
  </si>
  <si>
    <t>C. Interest payment = r*A</t>
  </si>
  <si>
    <t>D. Principal repayment = B - C</t>
  </si>
  <si>
    <t>Year</t>
  </si>
  <si>
    <t>F.  Loan principal balance at end of year 
= A - D</t>
  </si>
  <si>
    <t>E. Constant payment</t>
  </si>
  <si>
    <t xml:space="preserve">AMORTIZATION TABLE:   REFINANCING A MORTGAGE </t>
  </si>
  <si>
    <t>CONTRACTUAL VALUE VS MARKET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</si>
</sst>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5" formatCode="&quot;$&quot;\ #,##0.00;[Red]&quot;$&quot;\ \-#,##0.00"/>
  </numFmts>
  <fonts count="8" x14ac:knownFonts="1">
    <font>
      <sz val="10"/>
      <name val="Arial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2"/>
      <name val="Arial"/>
      <family val="2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0" borderId="0"/>
    <xf numFmtId="44" fontId="2" fillId="0" borderId="0" applyFont="0" applyFill="0" applyBorder="0" applyAlignment="0" applyProtection="0"/>
    <xf numFmtId="0" fontId="3" fillId="4" borderId="0" applyNumberFormat="0" applyBorder="0" applyAlignment="0" applyProtection="0"/>
    <xf numFmtId="0" fontId="4" fillId="2" borderId="1" applyNumberFormat="0" applyAlignment="0" applyProtection="0"/>
    <xf numFmtId="0" fontId="5" fillId="3" borderId="1" applyNumberFormat="0" applyAlignment="0" applyProtection="0"/>
  </cellStyleXfs>
  <cellXfs count="15">
    <xf numFmtId="0" fontId="0" fillId="0" borderId="0" xfId="0"/>
    <xf numFmtId="0" fontId="0" fillId="0" borderId="0" xfId="0" applyAlignment="1">
      <alignment wrapText="1"/>
    </xf>
    <xf numFmtId="0" fontId="7" fillId="0" borderId="0" xfId="0" applyFont="1"/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3" fontId="7" fillId="0" borderId="0" xfId="0" applyNumberFormat="1" applyFont="1" applyAlignment="1">
      <alignment vertical="center"/>
    </xf>
    <xf numFmtId="9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8" fontId="7" fillId="0" borderId="0" xfId="0" applyNumberFormat="1" applyFont="1" applyAlignment="1">
      <alignment vertical="center"/>
    </xf>
    <xf numFmtId="0" fontId="7" fillId="0" borderId="0" xfId="0" applyFont="1" applyAlignment="1">
      <alignment horizontal="center" vertical="center"/>
    </xf>
    <xf numFmtId="4" fontId="7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</cellXfs>
  <cellStyles count="6">
    <cellStyle name="20% - Accent3 2" xfId="3"/>
    <cellStyle name="Calculation 2" xfId="5"/>
    <cellStyle name="Currency 2" xfId="2"/>
    <cellStyle name="Input 2" xfId="4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27"/>
  <sheetViews>
    <sheetView tabSelected="1" workbookViewId="0">
      <selection activeCell="B4" sqref="B4"/>
    </sheetView>
  </sheetViews>
  <sheetFormatPr defaultRowHeight="15" x14ac:dyDescent="0.2"/>
  <cols>
    <col min="1" max="1" width="23.5703125" style="2" customWidth="1"/>
    <col min="2" max="2" width="15.7109375" style="2" bestFit="1" customWidth="1"/>
    <col min="3" max="3" width="15" style="2" customWidth="1"/>
    <col min="4" max="4" width="11.7109375" style="2" bestFit="1" customWidth="1"/>
    <col min="5" max="5" width="15.5703125" style="2" customWidth="1"/>
    <col min="6" max="6" width="20.140625" style="2" customWidth="1"/>
  </cols>
  <sheetData>
    <row r="1" spans="1:6" ht="15.75" x14ac:dyDescent="0.2">
      <c r="A1" s="13" t="s">
        <v>10</v>
      </c>
      <c r="B1" s="13"/>
      <c r="C1" s="13"/>
      <c r="D1" s="13"/>
      <c r="E1" s="13"/>
      <c r="F1" s="13"/>
    </row>
    <row r="2" spans="1:6" x14ac:dyDescent="0.2">
      <c r="A2" s="5" t="s">
        <v>1</v>
      </c>
      <c r="B2" s="6">
        <v>50000</v>
      </c>
      <c r="C2" s="5"/>
      <c r="D2" s="5"/>
      <c r="E2" s="5"/>
      <c r="F2" s="5"/>
    </row>
    <row r="3" spans="1:6" x14ac:dyDescent="0.2">
      <c r="A3" s="5" t="s">
        <v>2</v>
      </c>
      <c r="B3" s="7">
        <v>0.05</v>
      </c>
      <c r="C3" s="5"/>
      <c r="D3" s="5"/>
      <c r="E3" s="5"/>
      <c r="F3" s="5"/>
    </row>
    <row r="4" spans="1:6" x14ac:dyDescent="0.2">
      <c r="A4" s="5" t="s">
        <v>0</v>
      </c>
      <c r="B4" s="5">
        <v>10</v>
      </c>
      <c r="C4" s="5"/>
      <c r="D4" s="5"/>
      <c r="E4" s="5"/>
      <c r="F4" s="5"/>
    </row>
    <row r="5" spans="1:6" x14ac:dyDescent="0.2">
      <c r="A5" s="8" t="s">
        <v>4</v>
      </c>
      <c r="B5" s="9">
        <f>PMT(B3,B4,-B2)</f>
        <v>6475.2287482728334</v>
      </c>
      <c r="C5" s="5"/>
      <c r="D5" s="5"/>
      <c r="E5" s="5"/>
      <c r="F5" s="5"/>
    </row>
    <row r="6" spans="1:6" x14ac:dyDescent="0.2">
      <c r="A6" s="5"/>
      <c r="B6" s="5"/>
      <c r="C6" s="5"/>
      <c r="D6" s="5"/>
      <c r="E6" s="5"/>
      <c r="F6" s="5"/>
    </row>
    <row r="7" spans="1:6" s="1" customFormat="1" ht="63" x14ac:dyDescent="0.2">
      <c r="A7" s="3" t="s">
        <v>7</v>
      </c>
      <c r="B7" s="3" t="s">
        <v>3</v>
      </c>
      <c r="C7" s="3" t="s">
        <v>5</v>
      </c>
      <c r="D7" s="3" t="s">
        <v>6</v>
      </c>
      <c r="E7" s="3" t="s">
        <v>9</v>
      </c>
      <c r="F7" s="3" t="s">
        <v>8</v>
      </c>
    </row>
    <row r="8" spans="1:6" x14ac:dyDescent="0.2">
      <c r="A8" s="10">
        <v>1</v>
      </c>
      <c r="B8" s="11">
        <f>B2</f>
        <v>50000</v>
      </c>
      <c r="C8" s="11">
        <f>IPMT($B$3,A8,$B$4,-$B$2)</f>
        <v>2500</v>
      </c>
      <c r="D8" s="11">
        <f>PPMT($B$3,A8,$B$4,-$B$2)</f>
        <v>3975.2287482728334</v>
      </c>
      <c r="E8" s="11">
        <f>D8+C8</f>
        <v>6475.2287482728334</v>
      </c>
      <c r="F8" s="11">
        <f t="shared" ref="F8:F17" si="0">B8-D8</f>
        <v>46024.771251727165</v>
      </c>
    </row>
    <row r="9" spans="1:6" x14ac:dyDescent="0.2">
      <c r="A9" s="10">
        <v>2</v>
      </c>
      <c r="B9" s="11">
        <f>F8</f>
        <v>46024.771251727165</v>
      </c>
      <c r="C9" s="11">
        <f t="shared" ref="C9:C17" si="1">IPMT($B$3,A9,$B$4,-$B$2)</f>
        <v>2301.2385625863581</v>
      </c>
      <c r="D9" s="11">
        <f t="shared" ref="D9:D16" si="2">PPMT($B$3,A9,$B$4,-$B$2)</f>
        <v>4173.9901856864753</v>
      </c>
      <c r="E9" s="11">
        <f t="shared" ref="E9:E17" si="3">D9+C9</f>
        <v>6475.2287482728334</v>
      </c>
      <c r="F9" s="11">
        <f t="shared" si="0"/>
        <v>41850.78106604069</v>
      </c>
    </row>
    <row r="10" spans="1:6" x14ac:dyDescent="0.2">
      <c r="A10" s="10">
        <v>3</v>
      </c>
      <c r="B10" s="11">
        <f t="shared" ref="B10:B17" si="4">F9</f>
        <v>41850.78106604069</v>
      </c>
      <c r="C10" s="11">
        <f t="shared" si="1"/>
        <v>2092.5390533020341</v>
      </c>
      <c r="D10" s="11">
        <f t="shared" si="2"/>
        <v>4382.689694970798</v>
      </c>
      <c r="E10" s="11">
        <f t="shared" si="3"/>
        <v>6475.2287482728316</v>
      </c>
      <c r="F10" s="11">
        <f t="shared" si="0"/>
        <v>37468.091371069895</v>
      </c>
    </row>
    <row r="11" spans="1:6" x14ac:dyDescent="0.2">
      <c r="A11" s="10">
        <v>4</v>
      </c>
      <c r="B11" s="11">
        <f t="shared" si="4"/>
        <v>37468.091371069895</v>
      </c>
      <c r="C11" s="11">
        <f t="shared" si="1"/>
        <v>1873.4045685534945</v>
      </c>
      <c r="D11" s="11">
        <f t="shared" si="2"/>
        <v>4601.8241797193386</v>
      </c>
      <c r="E11" s="11">
        <f t="shared" si="3"/>
        <v>6475.2287482728334</v>
      </c>
      <c r="F11" s="11">
        <f t="shared" si="0"/>
        <v>32866.267191350555</v>
      </c>
    </row>
    <row r="12" spans="1:6" x14ac:dyDescent="0.2">
      <c r="A12" s="10">
        <v>5</v>
      </c>
      <c r="B12" s="11">
        <f t="shared" si="4"/>
        <v>32866.267191350555</v>
      </c>
      <c r="C12" s="11">
        <f t="shared" si="1"/>
        <v>1643.3133595675272</v>
      </c>
      <c r="D12" s="11">
        <f t="shared" si="2"/>
        <v>4831.9153887053062</v>
      </c>
      <c r="E12" s="11">
        <f t="shared" si="3"/>
        <v>6475.2287482728334</v>
      </c>
      <c r="F12" s="11">
        <f t="shared" si="0"/>
        <v>28034.351802645248</v>
      </c>
    </row>
    <row r="13" spans="1:6" x14ac:dyDescent="0.2">
      <c r="A13" s="10">
        <v>6</v>
      </c>
      <c r="B13" s="11">
        <f t="shared" si="4"/>
        <v>28034.351802645248</v>
      </c>
      <c r="C13" s="11">
        <f t="shared" si="1"/>
        <v>1401.7175901322621</v>
      </c>
      <c r="D13" s="11">
        <f t="shared" si="2"/>
        <v>5073.5111581405718</v>
      </c>
      <c r="E13" s="11">
        <f t="shared" si="3"/>
        <v>6475.2287482728334</v>
      </c>
      <c r="F13" s="11">
        <f t="shared" si="0"/>
        <v>22960.840644504675</v>
      </c>
    </row>
    <row r="14" spans="1:6" x14ac:dyDescent="0.2">
      <c r="A14" s="10">
        <v>7</v>
      </c>
      <c r="B14" s="11">
        <f t="shared" si="4"/>
        <v>22960.840644504675</v>
      </c>
      <c r="C14" s="11">
        <f t="shared" si="1"/>
        <v>1148.0420322252332</v>
      </c>
      <c r="D14" s="11">
        <f t="shared" si="2"/>
        <v>5327.1867160475995</v>
      </c>
      <c r="E14" s="11">
        <f t="shared" si="3"/>
        <v>6475.2287482728325</v>
      </c>
      <c r="F14" s="11">
        <f t="shared" si="0"/>
        <v>17633.653928457075</v>
      </c>
    </row>
    <row r="15" spans="1:6" x14ac:dyDescent="0.2">
      <c r="A15" s="10">
        <v>8</v>
      </c>
      <c r="B15" s="11">
        <f t="shared" si="4"/>
        <v>17633.653928457075</v>
      </c>
      <c r="C15" s="11">
        <f t="shared" si="1"/>
        <v>881.68269642285327</v>
      </c>
      <c r="D15" s="11">
        <f t="shared" si="2"/>
        <v>5593.5460518499794</v>
      </c>
      <c r="E15" s="11">
        <f t="shared" si="3"/>
        <v>6475.2287482728325</v>
      </c>
      <c r="F15" s="11">
        <f t="shared" si="0"/>
        <v>12040.107876607097</v>
      </c>
    </row>
    <row r="16" spans="1:6" x14ac:dyDescent="0.2">
      <c r="A16" s="10">
        <v>9</v>
      </c>
      <c r="B16" s="11">
        <f t="shared" si="4"/>
        <v>12040.107876607097</v>
      </c>
      <c r="C16" s="11">
        <f t="shared" si="1"/>
        <v>602.00539383035425</v>
      </c>
      <c r="D16" s="11">
        <f t="shared" si="2"/>
        <v>5873.2233544424789</v>
      </c>
      <c r="E16" s="11">
        <f t="shared" si="3"/>
        <v>6475.2287482728334</v>
      </c>
      <c r="F16" s="11">
        <f t="shared" si="0"/>
        <v>6166.8845221646179</v>
      </c>
    </row>
    <row r="17" spans="1:6" x14ac:dyDescent="0.2">
      <c r="A17" s="10">
        <v>10</v>
      </c>
      <c r="B17" s="11">
        <f t="shared" si="4"/>
        <v>6166.8845221646179</v>
      </c>
      <c r="C17" s="11">
        <f t="shared" si="1"/>
        <v>308.34422610823026</v>
      </c>
      <c r="D17" s="11">
        <f>PPMT($B$3,A17,$B$4,-$B$2)</f>
        <v>6166.8845221646034</v>
      </c>
      <c r="E17" s="11">
        <f t="shared" si="3"/>
        <v>6475.2287482728334</v>
      </c>
      <c r="F17" s="11">
        <f t="shared" si="0"/>
        <v>1.4551915228366852E-11</v>
      </c>
    </row>
    <row r="18" spans="1:6" x14ac:dyDescent="0.2">
      <c r="A18" s="10"/>
      <c r="B18" s="12"/>
      <c r="C18" s="12"/>
      <c r="D18" s="12"/>
      <c r="E18" s="12"/>
      <c r="F18" s="12"/>
    </row>
    <row r="19" spans="1:6" ht="15.75" x14ac:dyDescent="0.25">
      <c r="A19" s="14" t="s">
        <v>11</v>
      </c>
    </row>
    <row r="20" spans="1:6" x14ac:dyDescent="0.2">
      <c r="A20" s="4"/>
    </row>
    <row r="21" spans="1:6" x14ac:dyDescent="0.2">
      <c r="A21" s="4"/>
    </row>
    <row r="22" spans="1:6" x14ac:dyDescent="0.2">
      <c r="A22" s="4"/>
    </row>
    <row r="23" spans="1:6" x14ac:dyDescent="0.2">
      <c r="A23" s="4"/>
    </row>
    <row r="24" spans="1:6" x14ac:dyDescent="0.2">
      <c r="A24" s="4"/>
    </row>
    <row r="25" spans="1:6" x14ac:dyDescent="0.2">
      <c r="A25" s="4"/>
    </row>
    <row r="26" spans="1:6" x14ac:dyDescent="0.2">
      <c r="A26" s="4"/>
    </row>
    <row r="27" spans="1:6" x14ac:dyDescent="0.2">
      <c r="A27" s="4"/>
    </row>
    <row r="28" spans="1:6" x14ac:dyDescent="0.2">
      <c r="A28" s="4"/>
    </row>
    <row r="29" spans="1:6" x14ac:dyDescent="0.2">
      <c r="A29" s="4"/>
    </row>
    <row r="30" spans="1:6" x14ac:dyDescent="0.2">
      <c r="A30" s="4"/>
    </row>
    <row r="31" spans="1:6" x14ac:dyDescent="0.2">
      <c r="A31" s="4"/>
    </row>
    <row r="32" spans="1:6" s="2" customFormat="1" x14ac:dyDescent="0.2">
      <c r="A32" s="4"/>
    </row>
    <row r="33" spans="1:1" s="2" customFormat="1" x14ac:dyDescent="0.2">
      <c r="A33" s="4"/>
    </row>
    <row r="34" spans="1:1" s="2" customFormat="1" x14ac:dyDescent="0.2">
      <c r="A34" s="4"/>
    </row>
    <row r="35" spans="1:1" s="2" customFormat="1" x14ac:dyDescent="0.2">
      <c r="A35" s="4"/>
    </row>
    <row r="36" spans="1:1" s="2" customFormat="1" x14ac:dyDescent="0.2">
      <c r="A36" s="4"/>
    </row>
    <row r="37" spans="1:1" s="2" customFormat="1" x14ac:dyDescent="0.2">
      <c r="A37" s="4"/>
    </row>
    <row r="38" spans="1:1" s="2" customFormat="1" x14ac:dyDescent="0.2">
      <c r="A38" s="4"/>
    </row>
    <row r="39" spans="1:1" s="2" customFormat="1" x14ac:dyDescent="0.2">
      <c r="A39" s="4"/>
    </row>
    <row r="40" spans="1:1" s="2" customFormat="1" x14ac:dyDescent="0.2">
      <c r="A40" s="4"/>
    </row>
    <row r="41" spans="1:1" s="2" customFormat="1" x14ac:dyDescent="0.2">
      <c r="A41" s="4"/>
    </row>
    <row r="42" spans="1:1" s="2" customFormat="1" x14ac:dyDescent="0.2">
      <c r="A42" s="4"/>
    </row>
    <row r="43" spans="1:1" s="2" customFormat="1" x14ac:dyDescent="0.2">
      <c r="A43" s="4"/>
    </row>
    <row r="44" spans="1:1" s="2" customFormat="1" x14ac:dyDescent="0.2">
      <c r="A44" s="4"/>
    </row>
    <row r="45" spans="1:1" s="2" customFormat="1" x14ac:dyDescent="0.2">
      <c r="A45" s="4"/>
    </row>
    <row r="46" spans="1:1" s="2" customFormat="1" x14ac:dyDescent="0.2">
      <c r="A46" s="4"/>
    </row>
    <row r="47" spans="1:1" s="2" customFormat="1" x14ac:dyDescent="0.2">
      <c r="A47" s="4"/>
    </row>
    <row r="48" spans="1:1" s="2" customFormat="1" x14ac:dyDescent="0.2">
      <c r="A48" s="4"/>
    </row>
    <row r="49" spans="1:1" s="2" customFormat="1" x14ac:dyDescent="0.2">
      <c r="A49" s="4"/>
    </row>
    <row r="50" spans="1:1" s="2" customFormat="1" x14ac:dyDescent="0.2">
      <c r="A50" s="4"/>
    </row>
    <row r="51" spans="1:1" s="2" customFormat="1" x14ac:dyDescent="0.2">
      <c r="A51" s="4"/>
    </row>
    <row r="52" spans="1:1" s="2" customFormat="1" x14ac:dyDescent="0.2">
      <c r="A52" s="4"/>
    </row>
    <row r="53" spans="1:1" s="2" customFormat="1" x14ac:dyDescent="0.2">
      <c r="A53" s="4"/>
    </row>
    <row r="54" spans="1:1" s="2" customFormat="1" x14ac:dyDescent="0.2">
      <c r="A54" s="4"/>
    </row>
    <row r="55" spans="1:1" s="2" customFormat="1" x14ac:dyDescent="0.2">
      <c r="A55" s="4"/>
    </row>
    <row r="56" spans="1:1" s="2" customFormat="1" x14ac:dyDescent="0.2">
      <c r="A56" s="4"/>
    </row>
    <row r="57" spans="1:1" s="2" customFormat="1" x14ac:dyDescent="0.2">
      <c r="A57" s="4"/>
    </row>
    <row r="58" spans="1:1" s="2" customFormat="1" x14ac:dyDescent="0.2">
      <c r="A58" s="4"/>
    </row>
    <row r="59" spans="1:1" s="2" customFormat="1" x14ac:dyDescent="0.2">
      <c r="A59" s="4"/>
    </row>
    <row r="60" spans="1:1" s="2" customFormat="1" x14ac:dyDescent="0.2">
      <c r="A60" s="4"/>
    </row>
    <row r="61" spans="1:1" s="2" customFormat="1" x14ac:dyDescent="0.2">
      <c r="A61" s="4"/>
    </row>
    <row r="62" spans="1:1" s="2" customFormat="1" x14ac:dyDescent="0.2">
      <c r="A62" s="4"/>
    </row>
    <row r="63" spans="1:1" s="2" customFormat="1" x14ac:dyDescent="0.2">
      <c r="A63" s="4"/>
    </row>
    <row r="64" spans="1:1" s="2" customFormat="1" x14ac:dyDescent="0.2">
      <c r="A64" s="4"/>
    </row>
    <row r="65" spans="1:1" s="2" customFormat="1" x14ac:dyDescent="0.2">
      <c r="A65" s="4"/>
    </row>
    <row r="66" spans="1:1" s="2" customFormat="1" x14ac:dyDescent="0.2">
      <c r="A66" s="4"/>
    </row>
    <row r="67" spans="1:1" s="2" customFormat="1" x14ac:dyDescent="0.2">
      <c r="A67" s="4"/>
    </row>
    <row r="68" spans="1:1" s="2" customFormat="1" x14ac:dyDescent="0.2">
      <c r="A68" s="4"/>
    </row>
    <row r="69" spans="1:1" s="2" customFormat="1" x14ac:dyDescent="0.2">
      <c r="A69" s="4"/>
    </row>
    <row r="70" spans="1:1" s="2" customFormat="1" x14ac:dyDescent="0.2">
      <c r="A70" s="4"/>
    </row>
    <row r="71" spans="1:1" s="2" customFormat="1" x14ac:dyDescent="0.2">
      <c r="A71" s="4"/>
    </row>
    <row r="72" spans="1:1" s="2" customFormat="1" x14ac:dyDescent="0.2">
      <c r="A72" s="4"/>
    </row>
    <row r="73" spans="1:1" s="2" customFormat="1" x14ac:dyDescent="0.2">
      <c r="A73" s="4"/>
    </row>
    <row r="74" spans="1:1" s="2" customFormat="1" x14ac:dyDescent="0.2">
      <c r="A74" s="4"/>
    </row>
    <row r="75" spans="1:1" s="2" customFormat="1" x14ac:dyDescent="0.2">
      <c r="A75" s="4"/>
    </row>
    <row r="76" spans="1:1" s="2" customFormat="1" x14ac:dyDescent="0.2">
      <c r="A76" s="4"/>
    </row>
    <row r="77" spans="1:1" s="2" customFormat="1" x14ac:dyDescent="0.2">
      <c r="A77" s="4"/>
    </row>
    <row r="78" spans="1:1" s="2" customFormat="1" x14ac:dyDescent="0.2">
      <c r="A78" s="4"/>
    </row>
    <row r="79" spans="1:1" s="2" customFormat="1" x14ac:dyDescent="0.2">
      <c r="A79" s="4"/>
    </row>
    <row r="80" spans="1:1" s="2" customFormat="1" x14ac:dyDescent="0.2">
      <c r="A80" s="4"/>
    </row>
    <row r="81" spans="1:1" s="2" customFormat="1" x14ac:dyDescent="0.2">
      <c r="A81" s="4"/>
    </row>
    <row r="82" spans="1:1" s="2" customFormat="1" x14ac:dyDescent="0.2">
      <c r="A82" s="4"/>
    </row>
    <row r="83" spans="1:1" s="2" customFormat="1" x14ac:dyDescent="0.2">
      <c r="A83" s="4"/>
    </row>
    <row r="84" spans="1:1" s="2" customFormat="1" x14ac:dyDescent="0.2">
      <c r="A84" s="4"/>
    </row>
    <row r="85" spans="1:1" s="2" customFormat="1" x14ac:dyDescent="0.2">
      <c r="A85" s="4"/>
    </row>
    <row r="86" spans="1:1" s="2" customFormat="1" x14ac:dyDescent="0.2">
      <c r="A86" s="4"/>
    </row>
    <row r="87" spans="1:1" s="2" customFormat="1" x14ac:dyDescent="0.2">
      <c r="A87" s="4"/>
    </row>
    <row r="88" spans="1:1" s="2" customFormat="1" x14ac:dyDescent="0.2">
      <c r="A88" s="4"/>
    </row>
    <row r="89" spans="1:1" s="2" customFormat="1" x14ac:dyDescent="0.2">
      <c r="A89" s="4"/>
    </row>
    <row r="90" spans="1:1" s="2" customFormat="1" x14ac:dyDescent="0.2">
      <c r="A90" s="4"/>
    </row>
    <row r="91" spans="1:1" s="2" customFormat="1" x14ac:dyDescent="0.2">
      <c r="A91" s="4"/>
    </row>
    <row r="92" spans="1:1" s="2" customFormat="1" x14ac:dyDescent="0.2">
      <c r="A92" s="4"/>
    </row>
    <row r="93" spans="1:1" s="2" customFormat="1" x14ac:dyDescent="0.2">
      <c r="A93" s="4"/>
    </row>
    <row r="94" spans="1:1" s="2" customFormat="1" x14ac:dyDescent="0.2">
      <c r="A94" s="4"/>
    </row>
    <row r="95" spans="1:1" s="2" customFormat="1" x14ac:dyDescent="0.2">
      <c r="A95" s="4"/>
    </row>
    <row r="96" spans="1:1" s="2" customFormat="1" x14ac:dyDescent="0.2">
      <c r="A96" s="4"/>
    </row>
    <row r="97" spans="1:1" s="2" customFormat="1" x14ac:dyDescent="0.2">
      <c r="A97" s="4"/>
    </row>
    <row r="98" spans="1:1" s="2" customFormat="1" x14ac:dyDescent="0.2">
      <c r="A98" s="4"/>
    </row>
    <row r="99" spans="1:1" s="2" customFormat="1" x14ac:dyDescent="0.2">
      <c r="A99" s="4"/>
    </row>
    <row r="100" spans="1:1" s="2" customFormat="1" x14ac:dyDescent="0.2">
      <c r="A100" s="4"/>
    </row>
    <row r="101" spans="1:1" s="2" customFormat="1" x14ac:dyDescent="0.2">
      <c r="A101" s="4"/>
    </row>
    <row r="102" spans="1:1" s="2" customFormat="1" x14ac:dyDescent="0.2">
      <c r="A102" s="4"/>
    </row>
    <row r="103" spans="1:1" s="2" customFormat="1" x14ac:dyDescent="0.2">
      <c r="A103" s="4"/>
    </row>
    <row r="104" spans="1:1" s="2" customFormat="1" x14ac:dyDescent="0.2">
      <c r="A104" s="4"/>
    </row>
    <row r="105" spans="1:1" s="2" customFormat="1" x14ac:dyDescent="0.2">
      <c r="A105" s="4"/>
    </row>
    <row r="106" spans="1:1" s="2" customFormat="1" x14ac:dyDescent="0.2">
      <c r="A106" s="4"/>
    </row>
    <row r="107" spans="1:1" s="2" customFormat="1" x14ac:dyDescent="0.2">
      <c r="A107" s="4"/>
    </row>
    <row r="108" spans="1:1" s="2" customFormat="1" x14ac:dyDescent="0.2">
      <c r="A108" s="4"/>
    </row>
    <row r="109" spans="1:1" s="2" customFormat="1" x14ac:dyDescent="0.2">
      <c r="A109" s="4"/>
    </row>
    <row r="110" spans="1:1" s="2" customFormat="1" x14ac:dyDescent="0.2">
      <c r="A110" s="4"/>
    </row>
    <row r="111" spans="1:1" s="2" customFormat="1" x14ac:dyDescent="0.2">
      <c r="A111" s="4"/>
    </row>
    <row r="112" spans="1:1" s="2" customFormat="1" x14ac:dyDescent="0.2">
      <c r="A112" s="4"/>
    </row>
    <row r="113" spans="1:1" s="2" customFormat="1" x14ac:dyDescent="0.2">
      <c r="A113" s="4"/>
    </row>
    <row r="114" spans="1:1" s="2" customFormat="1" x14ac:dyDescent="0.2">
      <c r="A114" s="4"/>
    </row>
    <row r="115" spans="1:1" s="2" customFormat="1" x14ac:dyDescent="0.2">
      <c r="A115" s="4"/>
    </row>
    <row r="116" spans="1:1" s="2" customFormat="1" x14ac:dyDescent="0.2">
      <c r="A116" s="4"/>
    </row>
    <row r="117" spans="1:1" s="2" customFormat="1" x14ac:dyDescent="0.2">
      <c r="A117" s="4"/>
    </row>
    <row r="118" spans="1:1" s="2" customFormat="1" x14ac:dyDescent="0.2">
      <c r="A118" s="4"/>
    </row>
    <row r="119" spans="1:1" s="2" customFormat="1" x14ac:dyDescent="0.2">
      <c r="A119" s="4"/>
    </row>
    <row r="120" spans="1:1" s="2" customFormat="1" x14ac:dyDescent="0.2">
      <c r="A120" s="4"/>
    </row>
    <row r="121" spans="1:1" s="2" customFormat="1" x14ac:dyDescent="0.2">
      <c r="A121" s="4"/>
    </row>
    <row r="122" spans="1:1" s="2" customFormat="1" x14ac:dyDescent="0.2">
      <c r="A122" s="4"/>
    </row>
    <row r="123" spans="1:1" s="2" customFormat="1" x14ac:dyDescent="0.2">
      <c r="A123" s="4"/>
    </row>
    <row r="124" spans="1:1" s="2" customFormat="1" x14ac:dyDescent="0.2">
      <c r="A124" s="4"/>
    </row>
    <row r="125" spans="1:1" s="2" customFormat="1" x14ac:dyDescent="0.2">
      <c r="A125" s="4"/>
    </row>
    <row r="126" spans="1:1" s="2" customFormat="1" x14ac:dyDescent="0.2">
      <c r="A126" s="4"/>
    </row>
    <row r="127" spans="1:1" s="2" customFormat="1" x14ac:dyDescent="0.2">
      <c r="A127" s="4"/>
    </row>
  </sheetData>
  <mergeCells count="1">
    <mergeCell ref="A1:F1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show class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Family</cp:lastModifiedBy>
  <dcterms:created xsi:type="dcterms:W3CDTF">2006-01-08T17:57:28Z</dcterms:created>
  <dcterms:modified xsi:type="dcterms:W3CDTF">2019-05-22T17:18:30Z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Chapter04 - Loans and Amortization Tables (2).xlsm</vt:lpwstr>
  </property>
</Properties>
</file>