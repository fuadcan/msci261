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ae49dc721df1f61/Courses/261_s2019/PPT/ch04/"/>
    </mc:Choice>
  </mc:AlternateContent>
  <bookViews>
    <workbookView xWindow="300" yWindow="90" windowWidth="15480" windowHeight="8790" activeTab="6"/>
  </bookViews>
  <sheets>
    <sheet name="Pages 109-110" sheetId="14" r:id="rId1"/>
    <sheet name="Pages 111" sheetId="40" r:id="rId2"/>
    <sheet name="Page 113" sheetId="34" r:id="rId3"/>
    <sheet name="Page 114" sheetId="42" r:id="rId4"/>
    <sheet name="Page 117" sheetId="61" r:id="rId5"/>
    <sheet name="Page 119" sheetId="37" r:id="rId6"/>
    <sheet name="Page 120" sheetId="46" r:id="rId7"/>
  </sheets>
  <functionGroups builtInGroupCount="18"/>
  <calcPr calcId="162913" iterate="1"/>
</workbook>
</file>

<file path=xl/calcChain.xml><?xml version="1.0" encoding="utf-8"?>
<calcChain xmlns="http://schemas.openxmlformats.org/spreadsheetml/2006/main">
  <c r="B8" i="61" l="1"/>
  <c r="B9" i="61" s="1"/>
  <c r="B10" i="61" s="1"/>
  <c r="B11" i="61" s="1"/>
  <c r="B12" i="61" s="1"/>
  <c r="B13" i="61" s="1"/>
  <c r="B14" i="61" s="1"/>
  <c r="B15" i="61" s="1"/>
  <c r="B16" i="61" s="1"/>
  <c r="B17" i="61" s="1"/>
  <c r="B5" i="61"/>
  <c r="C8" i="46" l="1"/>
  <c r="C9" i="46" s="1"/>
  <c r="C10" i="46" s="1"/>
  <c r="C11" i="46" s="1"/>
  <c r="C12" i="46" s="1"/>
  <c r="C13" i="46" s="1"/>
  <c r="C14" i="46" s="1"/>
  <c r="C15" i="46" s="1"/>
  <c r="C7" i="37"/>
  <c r="G7" i="46"/>
  <c r="A19" i="34"/>
  <c r="G8" i="34"/>
  <c r="D19" i="34"/>
  <c r="F19" i="34"/>
  <c r="D21" i="40"/>
  <c r="D23" i="40"/>
  <c r="D13" i="40"/>
  <c r="D11" i="40"/>
  <c r="D14" i="40"/>
  <c r="D5" i="40"/>
  <c r="D22" i="40"/>
  <c r="D15" i="40"/>
  <c r="D6" i="40"/>
  <c r="B7" i="46" l="1"/>
  <c r="D7" i="46" l="1"/>
  <c r="E7" i="46" s="1"/>
  <c r="F7" i="46" s="1"/>
  <c r="B8" i="46" s="1"/>
  <c r="D8" i="46" l="1"/>
  <c r="E8" i="46" s="1"/>
  <c r="F8" i="46" s="1"/>
  <c r="B9" i="46" s="1"/>
  <c r="D9" i="46" l="1"/>
  <c r="E9" i="46" s="1"/>
  <c r="F9" i="46" s="1"/>
  <c r="B10" i="46" s="1"/>
  <c r="D9" i="42"/>
  <c r="D10" i="42"/>
  <c r="D11" i="42"/>
  <c r="D12" i="42"/>
  <c r="D13" i="42"/>
  <c r="D14" i="42"/>
  <c r="D15" i="42"/>
  <c r="D16" i="42"/>
  <c r="D17" i="42"/>
  <c r="D8" i="42"/>
  <c r="B8" i="42"/>
  <c r="B9" i="42" s="1"/>
  <c r="D10" i="46" l="1"/>
  <c r="E10" i="46" s="1"/>
  <c r="F10" i="46" s="1"/>
  <c r="B11" i="46" s="1"/>
  <c r="B10" i="42"/>
  <c r="C20" i="40"/>
  <c r="C5" i="40"/>
  <c r="C6" i="40" s="1"/>
  <c r="C21" i="40"/>
  <c r="C13" i="40"/>
  <c r="C11" i="40"/>
  <c r="C11" i="14"/>
  <c r="D11" i="14"/>
  <c r="C22" i="40" l="1"/>
  <c r="C23" i="40" s="1"/>
  <c r="D11" i="46"/>
  <c r="E11" i="46" s="1"/>
  <c r="F11" i="46" s="1"/>
  <c r="B12" i="46" s="1"/>
  <c r="B11" i="42"/>
  <c r="C12" i="40"/>
  <c r="C14" i="40" s="1"/>
  <c r="C15" i="40" s="1"/>
  <c r="D12" i="46" l="1"/>
  <c r="E12" i="46" s="1"/>
  <c r="F12" i="46" s="1"/>
  <c r="B13" i="46" s="1"/>
  <c r="B12" i="42"/>
  <c r="C8" i="37"/>
  <c r="C9" i="37" s="1"/>
  <c r="C10" i="37" s="1"/>
  <c r="C11" i="37" s="1"/>
  <c r="C12" i="37" s="1"/>
  <c r="C13" i="37" s="1"/>
  <c r="C14" i="37" s="1"/>
  <c r="C15" i="37" s="1"/>
  <c r="B7" i="37"/>
  <c r="D13" i="46" l="1"/>
  <c r="E13" i="46" s="1"/>
  <c r="F13" i="46" s="1"/>
  <c r="B14" i="46" s="1"/>
  <c r="B13" i="42"/>
  <c r="B8" i="34"/>
  <c r="F8" i="34" l="1"/>
  <c r="B9" i="34" s="1"/>
  <c r="C8" i="34"/>
  <c r="E8" i="34" s="1"/>
  <c r="D14" i="46"/>
  <c r="E14" i="46" s="1"/>
  <c r="F14" i="46" s="1"/>
  <c r="B15" i="46" s="1"/>
  <c r="B14" i="42"/>
  <c r="B8" i="37"/>
  <c r="F9" i="34" l="1"/>
  <c r="B10" i="34" s="1"/>
  <c r="C9" i="34"/>
  <c r="E9" i="34" s="1"/>
  <c r="D15" i="46"/>
  <c r="E15" i="46" s="1"/>
  <c r="F15" i="46" s="1"/>
  <c r="B16" i="46" s="1"/>
  <c r="B9" i="37"/>
  <c r="B10" i="37" s="1"/>
  <c r="B15" i="42"/>
  <c r="C21" i="14"/>
  <c r="C5" i="14"/>
  <c r="C6" i="14" s="1"/>
  <c r="C13" i="14"/>
  <c r="C14" i="14" s="1"/>
  <c r="C15" i="14" s="1"/>
  <c r="D15" i="14"/>
  <c r="D14" i="14"/>
  <c r="D5" i="14"/>
  <c r="D13" i="14"/>
  <c r="D23" i="14"/>
  <c r="D6" i="14"/>
  <c r="D21" i="14"/>
  <c r="D22" i="14"/>
  <c r="C10" i="34" l="1"/>
  <c r="E10" i="34" s="1"/>
  <c r="F10" i="34"/>
  <c r="B11" i="34" s="1"/>
  <c r="E16" i="46"/>
  <c r="F16" i="46" s="1"/>
  <c r="D16" i="46"/>
  <c r="C16" i="46" s="1"/>
  <c r="B16" i="42"/>
  <c r="C22" i="14"/>
  <c r="C23" i="14" s="1"/>
  <c r="B11" i="37"/>
  <c r="F11" i="34" l="1"/>
  <c r="B12" i="34" s="1"/>
  <c r="C11" i="34"/>
  <c r="E11" i="34" s="1"/>
  <c r="B17" i="42"/>
  <c r="B12" i="37"/>
  <c r="C12" i="34" l="1"/>
  <c r="E12" i="34" s="1"/>
  <c r="F12" i="34"/>
  <c r="B13" i="34" s="1"/>
  <c r="B13" i="37"/>
  <c r="C13" i="34" l="1"/>
  <c r="E13" i="34" s="1"/>
  <c r="F13" i="34"/>
  <c r="B14" i="34" s="1"/>
  <c r="B14" i="37"/>
  <c r="C14" i="34" l="1"/>
  <c r="E14" i="34" s="1"/>
  <c r="F14" i="34"/>
  <c r="B15" i="34" s="1"/>
  <c r="B15" i="37"/>
  <c r="C15" i="34" l="1"/>
  <c r="E15" i="34" s="1"/>
  <c r="F15" i="34"/>
  <c r="B16" i="34" s="1"/>
  <c r="B16" i="37"/>
  <c r="C16" i="34" l="1"/>
  <c r="E16" i="34" s="1"/>
  <c r="F16" i="34"/>
  <c r="B17" i="34" s="1"/>
  <c r="D17" i="34" l="1"/>
  <c r="F17" i="34" s="1"/>
  <c r="C17" i="34"/>
  <c r="C16" i="37"/>
  <c r="E17" i="34" l="1"/>
  <c r="B24" i="34" s="1"/>
</calcChain>
</file>

<file path=xl/sharedStrings.xml><?xml version="1.0" encoding="utf-8"?>
<sst xmlns="http://schemas.openxmlformats.org/spreadsheetml/2006/main" count="123" uniqueCount="47">
  <si>
    <t>One year from now (t=1)</t>
  </si>
  <si>
    <t>Today (t=0)</t>
  </si>
  <si>
    <t>Action</t>
  </si>
  <si>
    <t>Cash Flow</t>
  </si>
  <si>
    <t>Purchase a box</t>
  </si>
  <si>
    <t>Sell the box</t>
  </si>
  <si>
    <t>Sell the 10 boxes</t>
  </si>
  <si>
    <t>Pay back the loan</t>
  </si>
  <si>
    <t>Purchase 1 box with own capital</t>
  </si>
  <si>
    <t>Borrow $900 to purchase 9 more boxes</t>
  </si>
  <si>
    <t>Cash flow in one year</t>
  </si>
  <si>
    <t>Profits as % of initial investment</t>
  </si>
  <si>
    <t>Number of payments per year</t>
  </si>
  <si>
    <t>Loan period in years</t>
  </si>
  <si>
    <t>Loan amount</t>
  </si>
  <si>
    <t>Payment number</t>
  </si>
  <si>
    <t>No loan (unlevered)</t>
  </si>
  <si>
    <t>Net investment</t>
  </si>
  <si>
    <t>$60 loan (levered)</t>
  </si>
  <si>
    <t>Profit as % of initial investment</t>
  </si>
  <si>
    <t>$900 loan (levered)</t>
  </si>
  <si>
    <t>Annual interest rate, r</t>
  </si>
  <si>
    <t>A.  Loan balance at beginning of year</t>
  </si>
  <si>
    <t>C. Principal repayment</t>
  </si>
  <si>
    <t>AMORTIZATION TABLE:  INTEREST-ONLY LOAN</t>
  </si>
  <si>
    <t>B. Interest payment = r*A</t>
  </si>
  <si>
    <t>D. Total payment = B+C</t>
  </si>
  <si>
    <t>Annual payment</t>
  </si>
  <si>
    <t>C. Interest payment = r*A</t>
  </si>
  <si>
    <t>D. Principal repayment = B - C</t>
  </si>
  <si>
    <t>AMORTIZATION TABLE:   MORTGAGE USING IPMT AND PPMT</t>
  </si>
  <si>
    <t>AMORTIZATION TABLE:  BALLOON LOAN</t>
  </si>
  <si>
    <t>B. Total payment</t>
  </si>
  <si>
    <t>C. Interest payment
= r*A</t>
  </si>
  <si>
    <t>AMORTIZATION TABLE:  BALLOON LOAN
Some or all of the principal repayments are negative</t>
  </si>
  <si>
    <t>Check</t>
  </si>
  <si>
    <t>Year, t</t>
  </si>
  <si>
    <t>Principal at the end of the year</t>
  </si>
  <si>
    <t>AMORTIZATION TABLE:  EQUAL AMORTIZATION TERM LOAN</t>
  </si>
  <si>
    <t>Year</t>
  </si>
  <si>
    <t>C. Interest owed
= r*A</t>
  </si>
  <si>
    <t>E.  Loan principal balance at end of year 
= A - D</t>
  </si>
  <si>
    <t>D. Principal repayment
= B - C</t>
  </si>
  <si>
    <t>Borrow 60 at 5% to finance the transaction</t>
  </si>
  <si>
    <t xml:space="preserve">LEVERAGE &amp; RETURNS
</t>
  </si>
  <si>
    <t>Here we set the annual payment equal to the interest payment. But the loan company does not have to do so!</t>
  </si>
  <si>
    <t>For a person with low income, how would you make a Baloon Loan even more atttracive?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</si>
</sst>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\ #,##0;[Red]&quot;$&quot;\ \-#,##0"/>
    <numFmt numFmtId="165" formatCode="&quot;$&quot;\ #,##0.00;[Red]&quot;$&quot;\ \-#,##0.00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5" fillId="0" borderId="0"/>
    <xf numFmtId="44" fontId="6" fillId="0" borderId="0" applyFont="0" applyFill="0" applyBorder="0" applyAlignment="0" applyProtection="0"/>
    <xf numFmtId="0" fontId="7" fillId="4" borderId="0" applyNumberFormat="0" applyBorder="0" applyAlignment="0" applyProtection="0"/>
    <xf numFmtId="0" fontId="8" fillId="2" borderId="1" applyNumberFormat="0" applyAlignment="0" applyProtection="0"/>
    <xf numFmtId="0" fontId="9" fillId="3" borderId="1" applyNumberFormat="0" applyAlignment="0" applyProtection="0"/>
    <xf numFmtId="0" fontId="1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wrapText="1"/>
    </xf>
    <xf numFmtId="0" fontId="10" fillId="0" borderId="0" xfId="0" applyFont="1"/>
    <xf numFmtId="3" fontId="10" fillId="0" borderId="0" xfId="1" applyNumberFormat="1" applyFont="1"/>
    <xf numFmtId="4" fontId="10" fillId="0" borderId="0" xfId="0" applyNumberFormat="1" applyFont="1"/>
    <xf numFmtId="0" fontId="10" fillId="0" borderId="0" xfId="0" applyFont="1" applyBorder="1"/>
    <xf numFmtId="3" fontId="10" fillId="0" borderId="0" xfId="1" applyNumberFormat="1" applyFont="1" applyBorder="1"/>
    <xf numFmtId="4" fontId="10" fillId="0" borderId="0" xfId="0" applyNumberFormat="1" applyFont="1" applyBorder="1"/>
    <xf numFmtId="3" fontId="10" fillId="0" borderId="0" xfId="0" applyNumberFormat="1" applyFont="1"/>
    <xf numFmtId="9" fontId="10" fillId="5" borderId="0" xfId="0" applyNumberFormat="1" applyFont="1" applyFill="1"/>
    <xf numFmtId="10" fontId="10" fillId="5" borderId="0" xfId="0" applyNumberFormat="1" applyFont="1" applyFill="1"/>
    <xf numFmtId="0" fontId="4" fillId="0" borderId="0" xfId="0" applyFont="1" applyAlignment="1">
      <alignment wrapText="1"/>
    </xf>
    <xf numFmtId="44" fontId="10" fillId="0" borderId="0" xfId="1" applyFont="1"/>
    <xf numFmtId="0" fontId="11" fillId="0" borderId="0" xfId="0" applyFont="1" applyAlignment="1">
      <alignment horizontal="center"/>
    </xf>
    <xf numFmtId="0" fontId="12" fillId="0" borderId="0" xfId="0" applyFont="1"/>
    <xf numFmtId="164" fontId="12" fillId="0" borderId="0" xfId="0" applyNumberFormat="1" applyFont="1"/>
    <xf numFmtId="9" fontId="12" fillId="0" borderId="0" xfId="0" applyNumberFormat="1" applyFont="1"/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4" fontId="12" fillId="0" borderId="0" xfId="0" applyNumberFormat="1" applyFont="1"/>
    <xf numFmtId="165" fontId="12" fillId="0" borderId="0" xfId="0" applyNumberFormat="1" applyFont="1"/>
    <xf numFmtId="0" fontId="12" fillId="0" borderId="2" xfId="0" applyFont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8" fontId="12" fillId="0" borderId="0" xfId="0" applyNumberFormat="1" applyFont="1"/>
    <xf numFmtId="0" fontId="11" fillId="0" borderId="0" xfId="0" applyFont="1" applyAlignment="1">
      <alignment wrapText="1"/>
    </xf>
    <xf numFmtId="4" fontId="12" fillId="5" borderId="0" xfId="0" applyNumberFormat="1" applyFont="1" applyFill="1"/>
    <xf numFmtId="0" fontId="0" fillId="5" borderId="0" xfId="0" applyFill="1"/>
    <xf numFmtId="0" fontId="11" fillId="0" borderId="0" xfId="0" applyFont="1" applyFill="1"/>
    <xf numFmtId="0" fontId="3" fillId="0" borderId="0" xfId="0" applyFont="1" applyFill="1"/>
    <xf numFmtId="0" fontId="0" fillId="0" borderId="0" xfId="0" applyFill="1"/>
    <xf numFmtId="0" fontId="4" fillId="5" borderId="0" xfId="0" applyFont="1" applyFill="1"/>
    <xf numFmtId="0" fontId="10" fillId="5" borderId="0" xfId="0" applyFont="1" applyFill="1"/>
    <xf numFmtId="0" fontId="4" fillId="5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center" wrapText="1"/>
    </xf>
    <xf numFmtId="4" fontId="11" fillId="6" borderId="0" xfId="0" applyNumberFormat="1" applyFont="1" applyFill="1"/>
    <xf numFmtId="4" fontId="12" fillId="0" borderId="0" xfId="0" applyNumberFormat="1" applyFont="1" applyFill="1"/>
    <xf numFmtId="0" fontId="11" fillId="0" borderId="0" xfId="7" applyFont="1" applyAlignment="1">
      <alignment horizontal="center" vertical="center"/>
    </xf>
    <xf numFmtId="0" fontId="1" fillId="0" borderId="0" xfId="7"/>
    <xf numFmtId="0" fontId="12" fillId="0" borderId="0" xfId="7" applyFont="1" applyAlignment="1">
      <alignment vertical="center"/>
    </xf>
    <xf numFmtId="3" fontId="12" fillId="0" borderId="0" xfId="7" applyNumberFormat="1" applyFont="1" applyAlignment="1">
      <alignment vertical="center"/>
    </xf>
    <xf numFmtId="9" fontId="12" fillId="0" borderId="0" xfId="7" applyNumberFormat="1" applyFont="1" applyAlignment="1">
      <alignment vertical="center"/>
    </xf>
    <xf numFmtId="0" fontId="12" fillId="0" borderId="0" xfId="7" quotePrefix="1" applyFont="1" applyAlignment="1">
      <alignment vertical="center"/>
    </xf>
    <xf numFmtId="8" fontId="12" fillId="0" borderId="0" xfId="7" applyNumberFormat="1" applyFont="1" applyAlignment="1">
      <alignment vertical="center"/>
    </xf>
    <xf numFmtId="0" fontId="11" fillId="0" borderId="0" xfId="7" applyFont="1" applyAlignment="1">
      <alignment horizontal="center" vertical="center" wrapText="1"/>
    </xf>
    <xf numFmtId="0" fontId="3" fillId="0" borderId="0" xfId="7" applyFont="1" applyAlignment="1">
      <alignment wrapText="1"/>
    </xf>
    <xf numFmtId="0" fontId="1" fillId="0" borderId="0" xfId="7" applyAlignment="1">
      <alignment wrapText="1"/>
    </xf>
    <xf numFmtId="0" fontId="12" fillId="0" borderId="0" xfId="7" applyFont="1" applyAlignment="1">
      <alignment horizontal="center" vertical="center"/>
    </xf>
    <xf numFmtId="4" fontId="12" fillId="0" borderId="0" xfId="7" applyNumberFormat="1" applyFont="1" applyAlignment="1">
      <alignment vertical="center"/>
    </xf>
    <xf numFmtId="165" fontId="12" fillId="0" borderId="0" xfId="7" applyNumberFormat="1" applyFont="1" applyAlignment="1">
      <alignment vertical="center"/>
    </xf>
    <xf numFmtId="0" fontId="12" fillId="0" borderId="0" xfId="7" applyFont="1" applyAlignment="1">
      <alignment horizontal="center"/>
    </xf>
    <xf numFmtId="0" fontId="12" fillId="0" borderId="0" xfId="7" applyFont="1"/>
  </cellXfs>
  <cellStyles count="8">
    <cellStyle name="20% - Accent3 2" xfId="4"/>
    <cellStyle name="Calculation 2" xfId="6"/>
    <cellStyle name="Currency" xfId="1" builtinId="4"/>
    <cellStyle name="Currency 2" xfId="3"/>
    <cellStyle name="Input 2" xfId="5"/>
    <cellStyle name="Normal" xfId="0" builtinId="0"/>
    <cellStyle name="Normal 2" xfId="2"/>
    <cellStyle name="Normal 3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1485900</xdr:colOff>
      <xdr:row>7</xdr:row>
      <xdr:rowOff>47625</xdr:rowOff>
    </xdr:from>
    <xdr:to>
      <xdr:col>1</xdr:col>
      <xdr:colOff>400050</xdr:colOff>
      <xdr:row>17</xdr:row>
      <xdr:rowOff>161925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485900" y="1581150"/>
          <a:ext cx="771525" cy="17335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785813</xdr:colOff>
      <xdr:row>7</xdr:row>
      <xdr:rowOff>100013</xdr:rowOff>
    </xdr:from>
    <xdr:to>
      <xdr:col>3</xdr:col>
      <xdr:colOff>195262</xdr:colOff>
      <xdr:row>17</xdr:row>
      <xdr:rowOff>157162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flipH="1" flipV="1">
          <a:off x="3776663" y="1633538"/>
          <a:ext cx="214312" cy="16763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7</xdr:row>
      <xdr:rowOff>76200</xdr:rowOff>
    </xdr:from>
    <xdr:to>
      <xdr:col>5</xdr:col>
      <xdr:colOff>461963</xdr:colOff>
      <xdr:row>18</xdr:row>
      <xdr:rowOff>4762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5729288" y="1609725"/>
          <a:ext cx="447675" cy="1714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zoomScaleNormal="100" workbookViewId="0">
      <selection sqref="A1:D1"/>
    </sheetView>
  </sheetViews>
  <sheetFormatPr defaultRowHeight="18" outlineLevelRow="1" x14ac:dyDescent="0.25"/>
  <cols>
    <col min="1" max="1" width="33.42578125" style="10" customWidth="1"/>
    <col min="2" max="2" width="54.140625" style="10" customWidth="1"/>
    <col min="3" max="3" width="18.7109375" style="10" customWidth="1"/>
    <col min="4" max="4" width="17" style="10" bestFit="1" customWidth="1"/>
  </cols>
  <sheetData>
    <row r="1" spans="1:5" ht="34.9" customHeight="1" x14ac:dyDescent="0.2">
      <c r="A1" s="7" t="s">
        <v>44</v>
      </c>
      <c r="B1" s="8"/>
      <c r="C1" s="8"/>
      <c r="D1" s="8"/>
    </row>
    <row r="2" spans="1:5" s="2" customFormat="1" ht="36" outlineLevel="1" x14ac:dyDescent="0.25">
      <c r="A2" s="6" t="s">
        <v>16</v>
      </c>
      <c r="B2" s="6" t="s">
        <v>2</v>
      </c>
      <c r="C2" s="6" t="s">
        <v>3</v>
      </c>
      <c r="D2" s="9"/>
      <c r="E2" s="3"/>
    </row>
    <row r="3" spans="1:5" outlineLevel="1" x14ac:dyDescent="0.25">
      <c r="A3" s="10" t="s">
        <v>1</v>
      </c>
      <c r="B3" s="11" t="s">
        <v>4</v>
      </c>
      <c r="C3" s="12">
        <v>-100</v>
      </c>
      <c r="D3" s="11"/>
    </row>
    <row r="4" spans="1:5" outlineLevel="1" x14ac:dyDescent="0.25">
      <c r="A4" s="13" t="s">
        <v>0</v>
      </c>
      <c r="B4" s="14" t="s">
        <v>5</v>
      </c>
      <c r="C4" s="15">
        <v>110</v>
      </c>
      <c r="D4" s="11"/>
    </row>
    <row r="5" spans="1:5" outlineLevel="1" x14ac:dyDescent="0.25">
      <c r="B5" s="10" t="s">
        <v>10</v>
      </c>
      <c r="C5" s="12">
        <f>C4</f>
        <v>110</v>
      </c>
      <c r="D5" s="16" t="str">
        <f ca="1">getformula(C5)</f>
        <v>&lt;--  =C4</v>
      </c>
    </row>
    <row r="6" spans="1:5" outlineLevel="1" x14ac:dyDescent="0.25">
      <c r="B6" s="17" t="s">
        <v>19</v>
      </c>
      <c r="C6" s="18">
        <f>C5/-C3-1</f>
        <v>0.10000000000000009</v>
      </c>
      <c r="D6" s="16" t="str">
        <f ca="1">getformula(C6)</f>
        <v>&lt;--  =C5/-C3-1</v>
      </c>
    </row>
    <row r="7" spans="1:5" outlineLevel="1" x14ac:dyDescent="0.25">
      <c r="D7" s="16"/>
    </row>
    <row r="8" spans="1:5" ht="36" x14ac:dyDescent="0.25">
      <c r="A8" s="6" t="s">
        <v>18</v>
      </c>
      <c r="B8" s="6" t="s">
        <v>2</v>
      </c>
      <c r="C8" s="6" t="s">
        <v>3</v>
      </c>
      <c r="D8" s="9"/>
    </row>
    <row r="9" spans="1:5" x14ac:dyDescent="0.25">
      <c r="A9" s="10" t="s">
        <v>1</v>
      </c>
      <c r="B9" s="11" t="s">
        <v>8</v>
      </c>
      <c r="C9" s="12">
        <v>-100</v>
      </c>
      <c r="D9" s="11"/>
    </row>
    <row r="10" spans="1:5" x14ac:dyDescent="0.25">
      <c r="B10" s="11" t="s">
        <v>43</v>
      </c>
      <c r="C10" s="12">
        <v>60</v>
      </c>
      <c r="D10" s="11"/>
    </row>
    <row r="11" spans="1:5" x14ac:dyDescent="0.25">
      <c r="B11" s="11" t="s">
        <v>17</v>
      </c>
      <c r="C11" s="12">
        <f>C9+C10</f>
        <v>-40</v>
      </c>
      <c r="D11" s="11" t="str">
        <f ca="1">getformula(C11)</f>
        <v>&lt;--  =C9+C10</v>
      </c>
    </row>
    <row r="12" spans="1:5" x14ac:dyDescent="0.25">
      <c r="A12" s="13" t="s">
        <v>0</v>
      </c>
      <c r="B12" s="14" t="s">
        <v>5</v>
      </c>
      <c r="C12" s="15">
        <v>110</v>
      </c>
      <c r="D12" s="11"/>
    </row>
    <row r="13" spans="1:5" x14ac:dyDescent="0.25">
      <c r="A13" s="13"/>
      <c r="B13" s="14" t="s">
        <v>7</v>
      </c>
      <c r="C13" s="15">
        <f>-C10*(1+5%)</f>
        <v>-63</v>
      </c>
      <c r="D13" s="16" t="str">
        <f ca="1">getformula(C13)</f>
        <v>&lt;--  =-C10*(1+5%)</v>
      </c>
    </row>
    <row r="14" spans="1:5" x14ac:dyDescent="0.25">
      <c r="B14" s="10" t="s">
        <v>10</v>
      </c>
      <c r="C14" s="12">
        <f>SUM(C12:C13)</f>
        <v>47</v>
      </c>
      <c r="D14" s="16" t="str">
        <f ca="1">getformula(C14)</f>
        <v>&lt;--  =SUM(C12:C13)</v>
      </c>
    </row>
    <row r="15" spans="1:5" x14ac:dyDescent="0.25">
      <c r="B15" s="17" t="s">
        <v>19</v>
      </c>
      <c r="C15" s="18">
        <f>C14/-C11-1</f>
        <v>0.17500000000000004</v>
      </c>
      <c r="D15" s="16" t="str">
        <f ca="1">getformula(C15)</f>
        <v>&lt;--  =C14/-C11-1</v>
      </c>
    </row>
    <row r="17" spans="1:4" ht="36" x14ac:dyDescent="0.25">
      <c r="A17" s="6" t="s">
        <v>20</v>
      </c>
      <c r="B17" s="6" t="s">
        <v>2</v>
      </c>
      <c r="C17" s="6" t="s">
        <v>3</v>
      </c>
      <c r="D17" s="19"/>
    </row>
    <row r="18" spans="1:4" x14ac:dyDescent="0.25">
      <c r="A18" s="10" t="s">
        <v>1</v>
      </c>
      <c r="B18" s="11" t="s">
        <v>8</v>
      </c>
      <c r="C18" s="12">
        <v>-100</v>
      </c>
      <c r="D18" s="20"/>
    </row>
    <row r="19" spans="1:4" x14ac:dyDescent="0.25">
      <c r="B19" s="11" t="s">
        <v>9</v>
      </c>
      <c r="C19" s="12">
        <v>900</v>
      </c>
      <c r="D19" s="20"/>
    </row>
    <row r="20" spans="1:4" x14ac:dyDescent="0.25">
      <c r="A20" s="13" t="s">
        <v>0</v>
      </c>
      <c r="B20" s="14" t="s">
        <v>6</v>
      </c>
      <c r="C20" s="15">
        <v>1100</v>
      </c>
      <c r="D20" s="20"/>
    </row>
    <row r="21" spans="1:4" x14ac:dyDescent="0.25">
      <c r="A21" s="13"/>
      <c r="B21" s="14" t="s">
        <v>7</v>
      </c>
      <c r="C21" s="15">
        <f>-C19*(1+5%)</f>
        <v>-945</v>
      </c>
      <c r="D21" s="10" t="str">
        <f ca="1">getformula(C21)</f>
        <v>&lt;--  =-C19*(1+5%)</v>
      </c>
    </row>
    <row r="22" spans="1:4" x14ac:dyDescent="0.25">
      <c r="B22" s="10" t="s">
        <v>10</v>
      </c>
      <c r="C22" s="12">
        <f>SUM(C20:C21)</f>
        <v>155</v>
      </c>
      <c r="D22" s="10" t="str">
        <f ca="1">getformula(C22)</f>
        <v>&lt;--  =SUM(C20:C21)</v>
      </c>
    </row>
    <row r="23" spans="1:4" x14ac:dyDescent="0.25">
      <c r="B23" s="18" t="s">
        <v>11</v>
      </c>
      <c r="C23" s="18">
        <f>C22/-C18-1</f>
        <v>0.55000000000000004</v>
      </c>
      <c r="D23" s="10" t="str">
        <f ca="1">getformula(C23)</f>
        <v>&lt;--  =C22/-C18-1</v>
      </c>
    </row>
  </sheetData>
  <mergeCells count="1">
    <mergeCell ref="A1:D1"/>
  </mergeCells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3"/>
  <sheetViews>
    <sheetView zoomScaleNormal="100" workbookViewId="0">
      <selection activeCell="F9" sqref="F9"/>
    </sheetView>
  </sheetViews>
  <sheetFormatPr defaultRowHeight="18" outlineLevelRow="1" x14ac:dyDescent="0.25"/>
  <cols>
    <col min="1" max="1" width="33.7109375" style="10" customWidth="1"/>
    <col min="2" max="2" width="53.140625" style="10" customWidth="1"/>
    <col min="3" max="3" width="19.140625" style="10" customWidth="1"/>
    <col min="4" max="4" width="17.7109375" style="10" bestFit="1" customWidth="1"/>
  </cols>
  <sheetData>
    <row r="1" spans="1:5" ht="35.25" customHeight="1" x14ac:dyDescent="0.2">
      <c r="A1" s="7" t="s">
        <v>44</v>
      </c>
      <c r="B1" s="8"/>
      <c r="C1" s="8"/>
      <c r="D1" s="8"/>
    </row>
    <row r="2" spans="1:5" s="2" customFormat="1" outlineLevel="1" x14ac:dyDescent="0.25">
      <c r="A2" s="6" t="s">
        <v>16</v>
      </c>
      <c r="B2" s="6" t="s">
        <v>2</v>
      </c>
      <c r="C2" s="6" t="s">
        <v>3</v>
      </c>
      <c r="D2" s="9"/>
      <c r="E2" s="3"/>
    </row>
    <row r="3" spans="1:5" outlineLevel="1" x14ac:dyDescent="0.25">
      <c r="A3" s="10" t="s">
        <v>1</v>
      </c>
      <c r="B3" s="11" t="s">
        <v>4</v>
      </c>
      <c r="C3" s="12">
        <v>-100</v>
      </c>
      <c r="D3" s="11"/>
    </row>
    <row r="4" spans="1:5" outlineLevel="1" x14ac:dyDescent="0.25">
      <c r="A4" s="13" t="s">
        <v>0</v>
      </c>
      <c r="B4" s="14" t="s">
        <v>5</v>
      </c>
      <c r="C4" s="15">
        <v>90</v>
      </c>
      <c r="D4" s="11"/>
    </row>
    <row r="5" spans="1:5" outlineLevel="1" x14ac:dyDescent="0.25">
      <c r="B5" s="10" t="s">
        <v>10</v>
      </c>
      <c r="C5" s="12">
        <f>C4</f>
        <v>90</v>
      </c>
      <c r="D5" s="16" t="str">
        <f ca="1">_xlfn.FORMULATEXT(C5)</f>
        <v>=C4</v>
      </c>
    </row>
    <row r="6" spans="1:5" outlineLevel="1" x14ac:dyDescent="0.25">
      <c r="B6" s="17" t="s">
        <v>19</v>
      </c>
      <c r="C6" s="18">
        <f>C5/-C3-1</f>
        <v>-9.9999999999999978E-2</v>
      </c>
      <c r="D6" s="16" t="str">
        <f ca="1">_xlfn.FORMULATEXT(C6)</f>
        <v>=C5/-C3-1</v>
      </c>
    </row>
    <row r="7" spans="1:5" outlineLevel="1" x14ac:dyDescent="0.25">
      <c r="D7" s="16"/>
    </row>
    <row r="8" spans="1:5" ht="36" x14ac:dyDescent="0.25">
      <c r="A8" s="6" t="s">
        <v>18</v>
      </c>
      <c r="B8" s="6" t="s">
        <v>2</v>
      </c>
      <c r="C8" s="6" t="s">
        <v>3</v>
      </c>
      <c r="D8" s="9"/>
    </row>
    <row r="9" spans="1:5" x14ac:dyDescent="0.25">
      <c r="A9" s="10" t="s">
        <v>1</v>
      </c>
      <c r="B9" s="11" t="s">
        <v>8</v>
      </c>
      <c r="C9" s="12">
        <v>-100</v>
      </c>
      <c r="D9" s="11"/>
    </row>
    <row r="10" spans="1:5" x14ac:dyDescent="0.25">
      <c r="B10" s="11" t="s">
        <v>43</v>
      </c>
      <c r="C10" s="12">
        <v>60</v>
      </c>
      <c r="D10" s="11"/>
    </row>
    <row r="11" spans="1:5" x14ac:dyDescent="0.25">
      <c r="B11" s="11" t="s">
        <v>17</v>
      </c>
      <c r="C11" s="12">
        <f>C9+C10</f>
        <v>-40</v>
      </c>
      <c r="D11" s="11" t="str">
        <f ca="1">_xlfn.FORMULATEXT(C11)</f>
        <v>=C9+C10</v>
      </c>
    </row>
    <row r="12" spans="1:5" x14ac:dyDescent="0.25">
      <c r="A12" s="13" t="s">
        <v>0</v>
      </c>
      <c r="B12" s="14" t="s">
        <v>5</v>
      </c>
      <c r="C12" s="15">
        <f>C5</f>
        <v>90</v>
      </c>
      <c r="D12" s="11"/>
    </row>
    <row r="13" spans="1:5" x14ac:dyDescent="0.25">
      <c r="A13" s="13"/>
      <c r="B13" s="14" t="s">
        <v>7</v>
      </c>
      <c r="C13" s="15">
        <f>-C10*(1+5%)</f>
        <v>-63</v>
      </c>
      <c r="D13" s="16" t="str">
        <f ca="1">_xlfn.FORMULATEXT(C13)</f>
        <v>=-C10*(1+5%)</v>
      </c>
    </row>
    <row r="14" spans="1:5" x14ac:dyDescent="0.25">
      <c r="B14" s="10" t="s">
        <v>10</v>
      </c>
      <c r="C14" s="12">
        <f>SUM(C12:C13)</f>
        <v>27</v>
      </c>
      <c r="D14" s="16" t="str">
        <f ca="1">_xlfn.FORMULATEXT(C14)</f>
        <v>=SUM(C12:C13)</v>
      </c>
    </row>
    <row r="15" spans="1:5" x14ac:dyDescent="0.25">
      <c r="B15" s="17" t="s">
        <v>19</v>
      </c>
      <c r="C15" s="18">
        <f>C14/-C11-1</f>
        <v>-0.32499999999999996</v>
      </c>
      <c r="D15" s="16" t="str">
        <f ca="1">_xlfn.FORMULATEXT(C15)</f>
        <v>=C14/-C11-1</v>
      </c>
    </row>
    <row r="17" spans="1:4" ht="36" x14ac:dyDescent="0.25">
      <c r="A17" s="6" t="s">
        <v>20</v>
      </c>
      <c r="B17" s="6" t="s">
        <v>2</v>
      </c>
      <c r="C17" s="6" t="s">
        <v>3</v>
      </c>
      <c r="D17" s="19"/>
    </row>
    <row r="18" spans="1:4" x14ac:dyDescent="0.25">
      <c r="A18" s="10" t="s">
        <v>1</v>
      </c>
      <c r="B18" s="11" t="s">
        <v>8</v>
      </c>
      <c r="C18" s="12">
        <v>-100</v>
      </c>
      <c r="D18" s="20"/>
    </row>
    <row r="19" spans="1:4" x14ac:dyDescent="0.25">
      <c r="B19" s="11" t="s">
        <v>9</v>
      </c>
      <c r="C19" s="12">
        <v>900</v>
      </c>
      <c r="D19" s="20"/>
    </row>
    <row r="20" spans="1:4" x14ac:dyDescent="0.25">
      <c r="A20" s="13" t="s">
        <v>0</v>
      </c>
      <c r="B20" s="14" t="s">
        <v>6</v>
      </c>
      <c r="C20" s="15">
        <f>10*C4</f>
        <v>900</v>
      </c>
      <c r="D20" s="20"/>
    </row>
    <row r="21" spans="1:4" x14ac:dyDescent="0.25">
      <c r="A21" s="13"/>
      <c r="B21" s="14" t="s">
        <v>7</v>
      </c>
      <c r="C21" s="15">
        <f>-C19*(1+5%)</f>
        <v>-945</v>
      </c>
      <c r="D21" s="10" t="str">
        <f ca="1">_xlfn.FORMULATEXT(C21)</f>
        <v>=-C19*(1+5%)</v>
      </c>
    </row>
    <row r="22" spans="1:4" x14ac:dyDescent="0.25">
      <c r="B22" s="10" t="s">
        <v>10</v>
      </c>
      <c r="C22" s="12">
        <f>SUM(C20:C21)</f>
        <v>-45</v>
      </c>
      <c r="D22" s="10" t="str">
        <f ca="1">_xlfn.FORMULATEXT(C22)</f>
        <v>=SUM(C20:C21)</v>
      </c>
    </row>
    <row r="23" spans="1:4" x14ac:dyDescent="0.25">
      <c r="B23" s="17" t="s">
        <v>11</v>
      </c>
      <c r="C23" s="18">
        <f>C22/-C18-1</f>
        <v>-1.45</v>
      </c>
      <c r="D23" s="10" t="str">
        <f ca="1">_xlfn.FORMULATEXT(C23)</f>
        <v>=C22/-C18-1</v>
      </c>
    </row>
  </sheetData>
  <mergeCells count="1">
    <mergeCell ref="A1:D1"/>
  </mergeCells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8"/>
  <sheetViews>
    <sheetView workbookViewId="0">
      <selection activeCell="A5" sqref="A5"/>
    </sheetView>
  </sheetViews>
  <sheetFormatPr defaultRowHeight="15" x14ac:dyDescent="0.2"/>
  <cols>
    <col min="1" max="1" width="30.85546875" style="22" customWidth="1"/>
    <col min="2" max="2" width="16.42578125" style="22" customWidth="1"/>
    <col min="3" max="3" width="11.28515625" style="22" bestFit="1" customWidth="1"/>
    <col min="4" max="4" width="11.7109375" style="22" customWidth="1"/>
    <col min="5" max="5" width="11.7109375" style="22" bestFit="1" customWidth="1"/>
    <col min="6" max="6" width="20.28515625" style="22" customWidth="1"/>
    <col min="7" max="7" width="12" style="22" bestFit="1" customWidth="1"/>
    <col min="8" max="8" width="9.140625" style="22"/>
  </cols>
  <sheetData>
    <row r="1" spans="1:9" ht="15.75" x14ac:dyDescent="0.25">
      <c r="A1" s="21" t="s">
        <v>24</v>
      </c>
      <c r="B1" s="21"/>
      <c r="C1" s="21"/>
      <c r="D1" s="21"/>
      <c r="E1" s="21"/>
      <c r="F1" s="21"/>
      <c r="G1" s="21"/>
    </row>
    <row r="2" spans="1:9" x14ac:dyDescent="0.2">
      <c r="A2" s="22" t="s">
        <v>14</v>
      </c>
      <c r="B2" s="23">
        <v>50000</v>
      </c>
    </row>
    <row r="3" spans="1:9" x14ac:dyDescent="0.2">
      <c r="A3" s="22" t="s">
        <v>21</v>
      </c>
      <c r="B3" s="24">
        <v>0.05</v>
      </c>
    </row>
    <row r="4" spans="1:9" x14ac:dyDescent="0.2">
      <c r="A4" s="22" t="s">
        <v>12</v>
      </c>
      <c r="B4" s="22">
        <v>1</v>
      </c>
    </row>
    <row r="5" spans="1:9" x14ac:dyDescent="0.2">
      <c r="A5" s="22" t="s">
        <v>13</v>
      </c>
      <c r="B5" s="22">
        <v>10</v>
      </c>
    </row>
    <row r="7" spans="1:9" s="5" customFormat="1" ht="63" x14ac:dyDescent="0.25">
      <c r="A7" s="25" t="s">
        <v>15</v>
      </c>
      <c r="B7" s="26" t="s">
        <v>22</v>
      </c>
      <c r="C7" s="26" t="s">
        <v>25</v>
      </c>
      <c r="D7" s="26" t="s">
        <v>23</v>
      </c>
      <c r="E7" s="26" t="s">
        <v>26</v>
      </c>
      <c r="F7" s="26" t="s">
        <v>41</v>
      </c>
      <c r="G7" s="25"/>
      <c r="H7" s="25"/>
      <c r="I7" s="4"/>
    </row>
    <row r="8" spans="1:9" x14ac:dyDescent="0.2">
      <c r="A8" s="27">
        <v>1</v>
      </c>
      <c r="B8" s="28">
        <f>B2</f>
        <v>50000</v>
      </c>
      <c r="C8" s="28">
        <f>$B$3*B8</f>
        <v>2500</v>
      </c>
      <c r="D8" s="28">
        <v>0</v>
      </c>
      <c r="E8" s="28">
        <f>C8+D8</f>
        <v>2500</v>
      </c>
      <c r="F8" s="28">
        <f>B8-D8</f>
        <v>50000</v>
      </c>
      <c r="G8" s="22" t="str">
        <f ca="1">getformula(F8)</f>
        <v>&lt;--  =B8-D8</v>
      </c>
    </row>
    <row r="9" spans="1:9" x14ac:dyDescent="0.2">
      <c r="A9" s="27">
        <v>2</v>
      </c>
      <c r="B9" s="28">
        <f>F8</f>
        <v>50000</v>
      </c>
      <c r="C9" s="28">
        <f t="shared" ref="C9:C17" si="0">$B$3*B9</f>
        <v>2500</v>
      </c>
      <c r="D9" s="28">
        <v>0</v>
      </c>
      <c r="E9" s="28">
        <f t="shared" ref="E9:E17" si="1">C9+D9</f>
        <v>2500</v>
      </c>
      <c r="F9" s="28">
        <f t="shared" ref="F9" si="2">B9-D9</f>
        <v>50000</v>
      </c>
    </row>
    <row r="10" spans="1:9" x14ac:dyDescent="0.2">
      <c r="A10" s="27">
        <v>3</v>
      </c>
      <c r="B10" s="28">
        <f t="shared" ref="B10:B17" si="3">F9</f>
        <v>50000</v>
      </c>
      <c r="C10" s="28">
        <f t="shared" si="0"/>
        <v>2500</v>
      </c>
      <c r="D10" s="28">
        <v>0</v>
      </c>
      <c r="E10" s="28">
        <f t="shared" si="1"/>
        <v>2500</v>
      </c>
      <c r="F10" s="28">
        <f t="shared" ref="F10:F17" si="4">B10-D10</f>
        <v>50000</v>
      </c>
    </row>
    <row r="11" spans="1:9" x14ac:dyDescent="0.2">
      <c r="A11" s="27">
        <v>4</v>
      </c>
      <c r="B11" s="28">
        <f t="shared" si="3"/>
        <v>50000</v>
      </c>
      <c r="C11" s="28">
        <f t="shared" si="0"/>
        <v>2500</v>
      </c>
      <c r="D11" s="28">
        <v>0</v>
      </c>
      <c r="E11" s="28">
        <f t="shared" si="1"/>
        <v>2500</v>
      </c>
      <c r="F11" s="28">
        <f t="shared" si="4"/>
        <v>50000</v>
      </c>
    </row>
    <row r="12" spans="1:9" x14ac:dyDescent="0.2">
      <c r="A12" s="27">
        <v>5</v>
      </c>
      <c r="B12" s="28">
        <f t="shared" si="3"/>
        <v>50000</v>
      </c>
      <c r="C12" s="28">
        <f t="shared" si="0"/>
        <v>2500</v>
      </c>
      <c r="D12" s="28">
        <v>0</v>
      </c>
      <c r="E12" s="28">
        <f t="shared" si="1"/>
        <v>2500</v>
      </c>
      <c r="F12" s="28">
        <f t="shared" si="4"/>
        <v>50000</v>
      </c>
    </row>
    <row r="13" spans="1:9" x14ac:dyDescent="0.2">
      <c r="A13" s="27">
        <v>6</v>
      </c>
      <c r="B13" s="28">
        <f t="shared" si="3"/>
        <v>50000</v>
      </c>
      <c r="C13" s="28">
        <f t="shared" si="0"/>
        <v>2500</v>
      </c>
      <c r="D13" s="28">
        <v>0</v>
      </c>
      <c r="E13" s="28">
        <f t="shared" si="1"/>
        <v>2500</v>
      </c>
      <c r="F13" s="28">
        <f t="shared" si="4"/>
        <v>50000</v>
      </c>
    </row>
    <row r="14" spans="1:9" x14ac:dyDescent="0.2">
      <c r="A14" s="27">
        <v>7</v>
      </c>
      <c r="B14" s="28">
        <f t="shared" si="3"/>
        <v>50000</v>
      </c>
      <c r="C14" s="28">
        <f t="shared" si="0"/>
        <v>2500</v>
      </c>
      <c r="D14" s="28">
        <v>0</v>
      </c>
      <c r="E14" s="28">
        <f t="shared" si="1"/>
        <v>2500</v>
      </c>
      <c r="F14" s="28">
        <f t="shared" si="4"/>
        <v>50000</v>
      </c>
    </row>
    <row r="15" spans="1:9" x14ac:dyDescent="0.2">
      <c r="A15" s="27">
        <v>8</v>
      </c>
      <c r="B15" s="28">
        <f t="shared" si="3"/>
        <v>50000</v>
      </c>
      <c r="C15" s="28">
        <f t="shared" si="0"/>
        <v>2500</v>
      </c>
      <c r="D15" s="28">
        <v>0</v>
      </c>
      <c r="E15" s="28">
        <f t="shared" si="1"/>
        <v>2500</v>
      </c>
      <c r="F15" s="28">
        <f t="shared" si="4"/>
        <v>50000</v>
      </c>
    </row>
    <row r="16" spans="1:9" x14ac:dyDescent="0.2">
      <c r="A16" s="27">
        <v>9</v>
      </c>
      <c r="B16" s="28">
        <f t="shared" si="3"/>
        <v>50000</v>
      </c>
      <c r="C16" s="28">
        <f t="shared" si="0"/>
        <v>2500</v>
      </c>
      <c r="D16" s="28">
        <v>0</v>
      </c>
      <c r="E16" s="28">
        <f t="shared" si="1"/>
        <v>2500</v>
      </c>
      <c r="F16" s="28">
        <f t="shared" si="4"/>
        <v>50000</v>
      </c>
    </row>
    <row r="17" spans="1:8" x14ac:dyDescent="0.2">
      <c r="A17" s="27">
        <v>10</v>
      </c>
      <c r="B17" s="28">
        <f t="shared" si="3"/>
        <v>50000</v>
      </c>
      <c r="C17" s="28">
        <f t="shared" si="0"/>
        <v>2500</v>
      </c>
      <c r="D17" s="28">
        <f>B17</f>
        <v>50000</v>
      </c>
      <c r="E17" s="28">
        <f t="shared" si="1"/>
        <v>52500</v>
      </c>
      <c r="F17" s="28">
        <f t="shared" si="4"/>
        <v>0</v>
      </c>
    </row>
    <row r="18" spans="1:8" ht="15.75" thickBot="1" x14ac:dyDescent="0.25">
      <c r="A18" s="27"/>
      <c r="B18" s="29"/>
      <c r="C18" s="29"/>
      <c r="D18" s="29"/>
      <c r="E18" s="29"/>
      <c r="F18" s="29"/>
    </row>
    <row r="19" spans="1:8" s="1" customFormat="1" ht="16.5" thickTop="1" thickBot="1" x14ac:dyDescent="0.25">
      <c r="A19" s="30" t="str">
        <f ca="1">GGETFORMULA(B8)</f>
        <v>=B2</v>
      </c>
      <c r="B19" s="31"/>
      <c r="C19" s="31"/>
      <c r="D19" s="32" t="str">
        <f ca="1">GGETFORMULA(C8)</f>
        <v>=$B$3*B8</v>
      </c>
      <c r="E19" s="31"/>
      <c r="F19" s="32" t="str">
        <f ca="1">GGETFORMULA(E8)</f>
        <v>=C8+D8</v>
      </c>
      <c r="G19" s="27"/>
      <c r="H19" s="27"/>
    </row>
    <row r="20" spans="1:8" ht="15.75" thickTop="1" x14ac:dyDescent="0.2">
      <c r="A20" s="27"/>
    </row>
    <row r="21" spans="1:8" x14ac:dyDescent="0.2">
      <c r="A21" s="27"/>
    </row>
    <row r="22" spans="1:8" ht="15.75" x14ac:dyDescent="0.25">
      <c r="A22" s="33" t="s">
        <v>35</v>
      </c>
    </row>
    <row r="23" spans="1:8" x14ac:dyDescent="0.2">
      <c r="A23" s="27" t="s">
        <v>36</v>
      </c>
    </row>
    <row r="24" spans="1:8" x14ac:dyDescent="0.2">
      <c r="A24" s="27" t="s">
        <v>37</v>
      </c>
      <c r="B24" s="34">
        <f>NPV(B3,E11:E17)</f>
        <v>49999.999999999985</v>
      </c>
    </row>
    <row r="25" spans="1:8" x14ac:dyDescent="0.2">
      <c r="A25" s="27"/>
    </row>
    <row r="26" spans="1:8" x14ac:dyDescent="0.2">
      <c r="A26" s="27"/>
    </row>
    <row r="27" spans="1:8" x14ac:dyDescent="0.2">
      <c r="A27" s="27"/>
    </row>
    <row r="28" spans="1:8" x14ac:dyDescent="0.2">
      <c r="A28" s="27"/>
    </row>
    <row r="29" spans="1:8" x14ac:dyDescent="0.2">
      <c r="A29" s="27"/>
    </row>
    <row r="30" spans="1:8" x14ac:dyDescent="0.2">
      <c r="A30" s="27"/>
    </row>
    <row r="31" spans="1:8" x14ac:dyDescent="0.2">
      <c r="A31" s="27"/>
    </row>
    <row r="32" spans="1:8" x14ac:dyDescent="0.2">
      <c r="A32" s="27"/>
    </row>
    <row r="33" spans="1:1" x14ac:dyDescent="0.2">
      <c r="A33" s="27"/>
    </row>
    <row r="34" spans="1:1" x14ac:dyDescent="0.2">
      <c r="A34" s="27"/>
    </row>
    <row r="35" spans="1:1" x14ac:dyDescent="0.2">
      <c r="A35" s="27"/>
    </row>
    <row r="36" spans="1:1" x14ac:dyDescent="0.2">
      <c r="A36" s="27"/>
    </row>
    <row r="37" spans="1:1" x14ac:dyDescent="0.2">
      <c r="A37" s="27"/>
    </row>
    <row r="38" spans="1:1" x14ac:dyDescent="0.2">
      <c r="A38" s="27"/>
    </row>
    <row r="39" spans="1:1" x14ac:dyDescent="0.2">
      <c r="A39" s="27"/>
    </row>
    <row r="40" spans="1:1" x14ac:dyDescent="0.2">
      <c r="A40" s="27"/>
    </row>
    <row r="41" spans="1:1" x14ac:dyDescent="0.2">
      <c r="A41" s="27"/>
    </row>
    <row r="42" spans="1:1" x14ac:dyDescent="0.2">
      <c r="A42" s="27"/>
    </row>
    <row r="43" spans="1:1" x14ac:dyDescent="0.2">
      <c r="A43" s="27"/>
    </row>
    <row r="44" spans="1:1" x14ac:dyDescent="0.2">
      <c r="A44" s="27"/>
    </row>
    <row r="45" spans="1:1" x14ac:dyDescent="0.2">
      <c r="A45" s="27"/>
    </row>
    <row r="46" spans="1:1" x14ac:dyDescent="0.2">
      <c r="A46" s="27"/>
    </row>
    <row r="47" spans="1:1" x14ac:dyDescent="0.2">
      <c r="A47" s="27"/>
    </row>
    <row r="48" spans="1:1" x14ac:dyDescent="0.2">
      <c r="A48" s="27"/>
    </row>
    <row r="49" spans="1:1" x14ac:dyDescent="0.2">
      <c r="A49" s="27"/>
    </row>
    <row r="50" spans="1:1" x14ac:dyDescent="0.2">
      <c r="A50" s="27"/>
    </row>
    <row r="51" spans="1:1" x14ac:dyDescent="0.2">
      <c r="A51" s="27"/>
    </row>
    <row r="52" spans="1:1" x14ac:dyDescent="0.2">
      <c r="A52" s="27"/>
    </row>
    <row r="53" spans="1:1" x14ac:dyDescent="0.2">
      <c r="A53" s="27"/>
    </row>
    <row r="54" spans="1:1" x14ac:dyDescent="0.2">
      <c r="A54" s="27"/>
    </row>
    <row r="55" spans="1:1" x14ac:dyDescent="0.2">
      <c r="A55" s="27"/>
    </row>
    <row r="56" spans="1:1" x14ac:dyDescent="0.2">
      <c r="A56" s="27"/>
    </row>
    <row r="57" spans="1:1" x14ac:dyDescent="0.2">
      <c r="A57" s="27"/>
    </row>
    <row r="58" spans="1:1" x14ac:dyDescent="0.2">
      <c r="A58" s="27"/>
    </row>
    <row r="59" spans="1:1" x14ac:dyDescent="0.2">
      <c r="A59" s="27"/>
    </row>
    <row r="60" spans="1:1" x14ac:dyDescent="0.2">
      <c r="A60" s="27"/>
    </row>
    <row r="61" spans="1:1" x14ac:dyDescent="0.2">
      <c r="A61" s="27"/>
    </row>
    <row r="62" spans="1:1" x14ac:dyDescent="0.2">
      <c r="A62" s="27"/>
    </row>
    <row r="63" spans="1:1" x14ac:dyDescent="0.2">
      <c r="A63" s="27"/>
    </row>
    <row r="64" spans="1:1" x14ac:dyDescent="0.2">
      <c r="A64" s="27"/>
    </row>
    <row r="65" spans="1:1" x14ac:dyDescent="0.2">
      <c r="A65" s="27"/>
    </row>
    <row r="66" spans="1:1" x14ac:dyDescent="0.2">
      <c r="A66" s="27"/>
    </row>
    <row r="67" spans="1:1" x14ac:dyDescent="0.2">
      <c r="A67" s="27"/>
    </row>
    <row r="68" spans="1:1" x14ac:dyDescent="0.2">
      <c r="A68" s="27"/>
    </row>
    <row r="69" spans="1:1" x14ac:dyDescent="0.2">
      <c r="A69" s="27"/>
    </row>
    <row r="70" spans="1:1" x14ac:dyDescent="0.2">
      <c r="A70" s="27"/>
    </row>
    <row r="71" spans="1:1" x14ac:dyDescent="0.2">
      <c r="A71" s="27"/>
    </row>
    <row r="72" spans="1:1" x14ac:dyDescent="0.2">
      <c r="A72" s="27"/>
    </row>
    <row r="73" spans="1:1" x14ac:dyDescent="0.2">
      <c r="A73" s="27"/>
    </row>
    <row r="74" spans="1:1" x14ac:dyDescent="0.2">
      <c r="A74" s="27"/>
    </row>
    <row r="75" spans="1:1" x14ac:dyDescent="0.2">
      <c r="A75" s="27"/>
    </row>
    <row r="76" spans="1:1" x14ac:dyDescent="0.2">
      <c r="A76" s="27"/>
    </row>
    <row r="77" spans="1:1" x14ac:dyDescent="0.2">
      <c r="A77" s="27"/>
    </row>
    <row r="78" spans="1:1" x14ac:dyDescent="0.2">
      <c r="A78" s="27"/>
    </row>
    <row r="79" spans="1:1" x14ac:dyDescent="0.2">
      <c r="A79" s="27"/>
    </row>
    <row r="80" spans="1:1" x14ac:dyDescent="0.2">
      <c r="A80" s="27"/>
    </row>
    <row r="81" spans="1:1" x14ac:dyDescent="0.2">
      <c r="A81" s="27"/>
    </row>
    <row r="82" spans="1:1" x14ac:dyDescent="0.2">
      <c r="A82" s="27"/>
    </row>
    <row r="83" spans="1:1" x14ac:dyDescent="0.2">
      <c r="A83" s="27"/>
    </row>
    <row r="84" spans="1:1" x14ac:dyDescent="0.2">
      <c r="A84" s="27"/>
    </row>
    <row r="85" spans="1:1" x14ac:dyDescent="0.2">
      <c r="A85" s="27"/>
    </row>
    <row r="86" spans="1:1" x14ac:dyDescent="0.2">
      <c r="A86" s="27"/>
    </row>
    <row r="87" spans="1:1" x14ac:dyDescent="0.2">
      <c r="A87" s="27"/>
    </row>
    <row r="88" spans="1:1" x14ac:dyDescent="0.2">
      <c r="A88" s="27"/>
    </row>
    <row r="89" spans="1:1" x14ac:dyDescent="0.2">
      <c r="A89" s="27"/>
    </row>
    <row r="90" spans="1:1" x14ac:dyDescent="0.2">
      <c r="A90" s="27"/>
    </row>
    <row r="91" spans="1:1" x14ac:dyDescent="0.2">
      <c r="A91" s="27"/>
    </row>
    <row r="92" spans="1:1" x14ac:dyDescent="0.2">
      <c r="A92" s="27"/>
    </row>
    <row r="93" spans="1:1" x14ac:dyDescent="0.2">
      <c r="A93" s="27"/>
    </row>
    <row r="94" spans="1:1" x14ac:dyDescent="0.2">
      <c r="A94" s="27"/>
    </row>
    <row r="95" spans="1:1" x14ac:dyDescent="0.2">
      <c r="A95" s="27"/>
    </row>
    <row r="96" spans="1:1" x14ac:dyDescent="0.2">
      <c r="A96" s="27"/>
    </row>
    <row r="97" spans="1:1" x14ac:dyDescent="0.2">
      <c r="A97" s="27"/>
    </row>
    <row r="98" spans="1:1" x14ac:dyDescent="0.2">
      <c r="A98" s="27"/>
    </row>
    <row r="99" spans="1:1" x14ac:dyDescent="0.2">
      <c r="A99" s="27"/>
    </row>
    <row r="100" spans="1:1" x14ac:dyDescent="0.2">
      <c r="A100" s="27"/>
    </row>
    <row r="101" spans="1:1" x14ac:dyDescent="0.2">
      <c r="A101" s="27"/>
    </row>
    <row r="102" spans="1:1" x14ac:dyDescent="0.2">
      <c r="A102" s="27"/>
    </row>
    <row r="103" spans="1:1" x14ac:dyDescent="0.2">
      <c r="A103" s="27"/>
    </row>
    <row r="104" spans="1:1" x14ac:dyDescent="0.2">
      <c r="A104" s="27"/>
    </row>
    <row r="105" spans="1:1" x14ac:dyDescent="0.2">
      <c r="A105" s="27"/>
    </row>
    <row r="106" spans="1:1" x14ac:dyDescent="0.2">
      <c r="A106" s="27"/>
    </row>
    <row r="107" spans="1:1" x14ac:dyDescent="0.2">
      <c r="A107" s="27"/>
    </row>
    <row r="108" spans="1:1" x14ac:dyDescent="0.2">
      <c r="A108" s="27"/>
    </row>
    <row r="109" spans="1:1" x14ac:dyDescent="0.2">
      <c r="A109" s="27"/>
    </row>
    <row r="110" spans="1:1" x14ac:dyDescent="0.2">
      <c r="A110" s="27"/>
    </row>
    <row r="111" spans="1:1" x14ac:dyDescent="0.2">
      <c r="A111" s="27"/>
    </row>
    <row r="112" spans="1:1" x14ac:dyDescent="0.2">
      <c r="A112" s="27"/>
    </row>
    <row r="113" spans="1:1" x14ac:dyDescent="0.2">
      <c r="A113" s="27"/>
    </row>
    <row r="114" spans="1:1" x14ac:dyDescent="0.2">
      <c r="A114" s="27"/>
    </row>
    <row r="115" spans="1:1" x14ac:dyDescent="0.2">
      <c r="A115" s="27"/>
    </row>
    <row r="116" spans="1:1" x14ac:dyDescent="0.2">
      <c r="A116" s="27"/>
    </row>
    <row r="117" spans="1:1" x14ac:dyDescent="0.2">
      <c r="A117" s="27"/>
    </row>
    <row r="118" spans="1:1" x14ac:dyDescent="0.2">
      <c r="A118" s="27"/>
    </row>
    <row r="119" spans="1:1" x14ac:dyDescent="0.2">
      <c r="A119" s="27"/>
    </row>
    <row r="120" spans="1:1" x14ac:dyDescent="0.2">
      <c r="A120" s="27"/>
    </row>
    <row r="121" spans="1:1" x14ac:dyDescent="0.2">
      <c r="A121" s="27"/>
    </row>
    <row r="122" spans="1:1" x14ac:dyDescent="0.2">
      <c r="A122" s="27"/>
    </row>
    <row r="123" spans="1:1" x14ac:dyDescent="0.2">
      <c r="A123" s="27"/>
    </row>
    <row r="124" spans="1:1" x14ac:dyDescent="0.2">
      <c r="A124" s="27"/>
    </row>
    <row r="125" spans="1:1" x14ac:dyDescent="0.2">
      <c r="A125" s="27"/>
    </row>
    <row r="126" spans="1:1" x14ac:dyDescent="0.2">
      <c r="A126" s="27"/>
    </row>
    <row r="127" spans="1:1" x14ac:dyDescent="0.2">
      <c r="A127" s="27"/>
    </row>
    <row r="128" spans="1:1" x14ac:dyDescent="0.2">
      <c r="A128" s="27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27"/>
  <sheetViews>
    <sheetView workbookViewId="0">
      <selection activeCell="B21" sqref="B21"/>
    </sheetView>
  </sheetViews>
  <sheetFormatPr defaultRowHeight="15" x14ac:dyDescent="0.2"/>
  <cols>
    <col min="1" max="1" width="30.140625" style="22" customWidth="1"/>
    <col min="2" max="2" width="15.7109375" style="22" bestFit="1" customWidth="1"/>
    <col min="3" max="3" width="11.28515625" style="22" bestFit="1" customWidth="1"/>
    <col min="4" max="4" width="15" style="22" customWidth="1"/>
    <col min="5" max="5" width="11.7109375" style="22" bestFit="1" customWidth="1"/>
    <col min="6" max="6" width="16.5703125" style="22" customWidth="1"/>
    <col min="7" max="7" width="9.140625" style="22"/>
  </cols>
  <sheetData>
    <row r="1" spans="1:8" ht="15.75" x14ac:dyDescent="0.25">
      <c r="A1" s="21" t="s">
        <v>38</v>
      </c>
      <c r="B1" s="21"/>
      <c r="C1" s="21"/>
      <c r="D1" s="21"/>
      <c r="E1" s="21"/>
      <c r="F1" s="21"/>
    </row>
    <row r="2" spans="1:8" x14ac:dyDescent="0.2">
      <c r="A2" s="22" t="s">
        <v>14</v>
      </c>
      <c r="B2" s="23">
        <v>50000</v>
      </c>
    </row>
    <row r="3" spans="1:8" x14ac:dyDescent="0.2">
      <c r="A3" s="22" t="s">
        <v>21</v>
      </c>
      <c r="B3" s="24">
        <v>0.05</v>
      </c>
    </row>
    <row r="4" spans="1:8" x14ac:dyDescent="0.2">
      <c r="A4" s="22" t="s">
        <v>12</v>
      </c>
      <c r="B4" s="22">
        <v>1</v>
      </c>
    </row>
    <row r="5" spans="1:8" x14ac:dyDescent="0.2">
      <c r="A5" s="22" t="s">
        <v>13</v>
      </c>
      <c r="B5" s="22">
        <v>10</v>
      </c>
    </row>
    <row r="7" spans="1:8" s="5" customFormat="1" ht="78.75" x14ac:dyDescent="0.25">
      <c r="A7" s="25" t="s">
        <v>39</v>
      </c>
      <c r="B7" s="26" t="s">
        <v>22</v>
      </c>
      <c r="C7" s="26" t="s">
        <v>25</v>
      </c>
      <c r="D7" s="26" t="s">
        <v>23</v>
      </c>
      <c r="E7" s="26" t="s">
        <v>26</v>
      </c>
      <c r="F7" s="26" t="s">
        <v>41</v>
      </c>
      <c r="G7" s="25"/>
      <c r="H7" s="4"/>
    </row>
    <row r="8" spans="1:8" x14ac:dyDescent="0.2">
      <c r="A8" s="27">
        <v>1</v>
      </c>
      <c r="B8" s="28">
        <f>B2</f>
        <v>50000</v>
      </c>
      <c r="C8" s="28"/>
      <c r="D8" s="28">
        <f>$B$2/10</f>
        <v>5000</v>
      </c>
      <c r="E8" s="28"/>
      <c r="F8" s="28"/>
    </row>
    <row r="9" spans="1:8" x14ac:dyDescent="0.2">
      <c r="A9" s="27">
        <v>2</v>
      </c>
      <c r="B9" s="28">
        <f>F8</f>
        <v>0</v>
      </c>
      <c r="C9" s="28"/>
      <c r="D9" s="28">
        <f t="shared" ref="D9:D17" si="0">$B$2/10</f>
        <v>5000</v>
      </c>
      <c r="E9" s="28"/>
      <c r="F9" s="28"/>
    </row>
    <row r="10" spans="1:8" x14ac:dyDescent="0.2">
      <c r="A10" s="27">
        <v>3</v>
      </c>
      <c r="B10" s="28">
        <f t="shared" ref="B10:B17" si="1">F9</f>
        <v>0</v>
      </c>
      <c r="C10" s="28"/>
      <c r="D10" s="28">
        <f t="shared" si="0"/>
        <v>5000</v>
      </c>
      <c r="E10" s="28"/>
      <c r="F10" s="28"/>
    </row>
    <row r="11" spans="1:8" x14ac:dyDescent="0.2">
      <c r="A11" s="27">
        <v>4</v>
      </c>
      <c r="B11" s="28">
        <f t="shared" si="1"/>
        <v>0</v>
      </c>
      <c r="C11" s="28"/>
      <c r="D11" s="28">
        <f t="shared" si="0"/>
        <v>5000</v>
      </c>
      <c r="E11" s="28"/>
      <c r="F11" s="28"/>
    </row>
    <row r="12" spans="1:8" x14ac:dyDescent="0.2">
      <c r="A12" s="27">
        <v>5</v>
      </c>
      <c r="B12" s="28">
        <f t="shared" si="1"/>
        <v>0</v>
      </c>
      <c r="C12" s="28"/>
      <c r="D12" s="28">
        <f t="shared" si="0"/>
        <v>5000</v>
      </c>
      <c r="E12" s="28"/>
      <c r="F12" s="28"/>
    </row>
    <row r="13" spans="1:8" x14ac:dyDescent="0.2">
      <c r="A13" s="27">
        <v>6</v>
      </c>
      <c r="B13" s="28">
        <f t="shared" si="1"/>
        <v>0</v>
      </c>
      <c r="C13" s="28"/>
      <c r="D13" s="28">
        <f t="shared" si="0"/>
        <v>5000</v>
      </c>
      <c r="E13" s="28"/>
      <c r="F13" s="28"/>
    </row>
    <row r="14" spans="1:8" x14ac:dyDescent="0.2">
      <c r="A14" s="27">
        <v>7</v>
      </c>
      <c r="B14" s="28">
        <f t="shared" si="1"/>
        <v>0</v>
      </c>
      <c r="C14" s="28"/>
      <c r="D14" s="28">
        <f t="shared" si="0"/>
        <v>5000</v>
      </c>
      <c r="E14" s="28"/>
      <c r="F14" s="28"/>
    </row>
    <row r="15" spans="1:8" x14ac:dyDescent="0.2">
      <c r="A15" s="27">
        <v>8</v>
      </c>
      <c r="B15" s="28">
        <f t="shared" si="1"/>
        <v>0</v>
      </c>
      <c r="C15" s="28"/>
      <c r="D15" s="28">
        <f t="shared" si="0"/>
        <v>5000</v>
      </c>
      <c r="E15" s="28"/>
      <c r="F15" s="28"/>
    </row>
    <row r="16" spans="1:8" x14ac:dyDescent="0.2">
      <c r="A16" s="27">
        <v>9</v>
      </c>
      <c r="B16" s="28">
        <f t="shared" si="1"/>
        <v>0</v>
      </c>
      <c r="C16" s="28"/>
      <c r="D16" s="28">
        <f t="shared" si="0"/>
        <v>5000</v>
      </c>
      <c r="E16" s="28"/>
      <c r="F16" s="28"/>
    </row>
    <row r="17" spans="1:6" x14ac:dyDescent="0.2">
      <c r="A17" s="27">
        <v>10</v>
      </c>
      <c r="B17" s="28">
        <f t="shared" si="1"/>
        <v>0</v>
      </c>
      <c r="C17" s="28"/>
      <c r="D17" s="28">
        <f t="shared" si="0"/>
        <v>5000</v>
      </c>
      <c r="E17" s="28"/>
      <c r="F17" s="28"/>
    </row>
    <row r="18" spans="1:6" x14ac:dyDescent="0.2">
      <c r="A18" s="27"/>
      <c r="B18" s="29"/>
      <c r="C18" s="29"/>
      <c r="D18" s="29"/>
      <c r="E18" s="29"/>
      <c r="F18" s="29"/>
    </row>
    <row r="19" spans="1:6" x14ac:dyDescent="0.2">
      <c r="A19" s="27"/>
    </row>
    <row r="20" spans="1:6" x14ac:dyDescent="0.2">
      <c r="A20" s="27"/>
    </row>
    <row r="21" spans="1:6" x14ac:dyDescent="0.2">
      <c r="A21" s="27"/>
    </row>
    <row r="22" spans="1:6" x14ac:dyDescent="0.2">
      <c r="A22" s="27"/>
    </row>
    <row r="23" spans="1:6" x14ac:dyDescent="0.2">
      <c r="A23" s="27"/>
    </row>
    <row r="24" spans="1:6" x14ac:dyDescent="0.2">
      <c r="A24" s="27"/>
    </row>
    <row r="25" spans="1:6" x14ac:dyDescent="0.2">
      <c r="A25" s="27"/>
    </row>
    <row r="26" spans="1:6" x14ac:dyDescent="0.2">
      <c r="A26" s="27"/>
    </row>
    <row r="27" spans="1:6" x14ac:dyDescent="0.2">
      <c r="A27" s="27"/>
    </row>
    <row r="28" spans="1:6" x14ac:dyDescent="0.2">
      <c r="A28" s="27"/>
    </row>
    <row r="29" spans="1:6" x14ac:dyDescent="0.2">
      <c r="A29" s="27"/>
    </row>
    <row r="30" spans="1:6" x14ac:dyDescent="0.2">
      <c r="A30" s="27"/>
    </row>
    <row r="31" spans="1:6" x14ac:dyDescent="0.2">
      <c r="A31" s="27"/>
    </row>
    <row r="32" spans="1:6" x14ac:dyDescent="0.2">
      <c r="A32" s="27"/>
    </row>
    <row r="33" spans="1:1" x14ac:dyDescent="0.2">
      <c r="A33" s="27"/>
    </row>
    <row r="34" spans="1:1" x14ac:dyDescent="0.2">
      <c r="A34" s="27"/>
    </row>
    <row r="35" spans="1:1" x14ac:dyDescent="0.2">
      <c r="A35" s="27"/>
    </row>
    <row r="36" spans="1:1" x14ac:dyDescent="0.2">
      <c r="A36" s="27"/>
    </row>
    <row r="37" spans="1:1" x14ac:dyDescent="0.2">
      <c r="A37" s="27"/>
    </row>
    <row r="38" spans="1:1" x14ac:dyDescent="0.2">
      <c r="A38" s="27"/>
    </row>
    <row r="39" spans="1:1" x14ac:dyDescent="0.2">
      <c r="A39" s="27"/>
    </row>
    <row r="40" spans="1:1" x14ac:dyDescent="0.2">
      <c r="A40" s="27"/>
    </row>
    <row r="41" spans="1:1" x14ac:dyDescent="0.2">
      <c r="A41" s="27"/>
    </row>
    <row r="42" spans="1:1" x14ac:dyDescent="0.2">
      <c r="A42" s="27"/>
    </row>
    <row r="43" spans="1:1" x14ac:dyDescent="0.2">
      <c r="A43" s="27"/>
    </row>
    <row r="44" spans="1:1" x14ac:dyDescent="0.2">
      <c r="A44" s="27"/>
    </row>
    <row r="45" spans="1:1" x14ac:dyDescent="0.2">
      <c r="A45" s="27"/>
    </row>
    <row r="46" spans="1:1" x14ac:dyDescent="0.2">
      <c r="A46" s="27"/>
    </row>
    <row r="47" spans="1:1" x14ac:dyDescent="0.2">
      <c r="A47" s="27"/>
    </row>
    <row r="48" spans="1:1" x14ac:dyDescent="0.2">
      <c r="A48" s="27"/>
    </row>
    <row r="49" spans="1:1" x14ac:dyDescent="0.2">
      <c r="A49" s="27"/>
    </row>
    <row r="50" spans="1:1" x14ac:dyDescent="0.2">
      <c r="A50" s="27"/>
    </row>
    <row r="51" spans="1:1" x14ac:dyDescent="0.2">
      <c r="A51" s="27"/>
    </row>
    <row r="52" spans="1:1" x14ac:dyDescent="0.2">
      <c r="A52" s="27"/>
    </row>
    <row r="53" spans="1:1" x14ac:dyDescent="0.2">
      <c r="A53" s="27"/>
    </row>
    <row r="54" spans="1:1" x14ac:dyDescent="0.2">
      <c r="A54" s="27"/>
    </row>
    <row r="55" spans="1:1" x14ac:dyDescent="0.2">
      <c r="A55" s="27"/>
    </row>
    <row r="56" spans="1:1" x14ac:dyDescent="0.2">
      <c r="A56" s="27"/>
    </row>
    <row r="57" spans="1:1" x14ac:dyDescent="0.2">
      <c r="A57" s="27"/>
    </row>
    <row r="58" spans="1:1" x14ac:dyDescent="0.2">
      <c r="A58" s="27"/>
    </row>
    <row r="59" spans="1:1" x14ac:dyDescent="0.2">
      <c r="A59" s="27"/>
    </row>
    <row r="60" spans="1:1" x14ac:dyDescent="0.2">
      <c r="A60" s="27"/>
    </row>
    <row r="61" spans="1:1" x14ac:dyDescent="0.2">
      <c r="A61" s="27"/>
    </row>
    <row r="62" spans="1:1" x14ac:dyDescent="0.2">
      <c r="A62" s="27"/>
    </row>
    <row r="63" spans="1:1" x14ac:dyDescent="0.2">
      <c r="A63" s="27"/>
    </row>
    <row r="64" spans="1:1" x14ac:dyDescent="0.2">
      <c r="A64" s="27"/>
    </row>
    <row r="65" spans="1:1" x14ac:dyDescent="0.2">
      <c r="A65" s="27"/>
    </row>
    <row r="66" spans="1:1" x14ac:dyDescent="0.2">
      <c r="A66" s="27"/>
    </row>
    <row r="67" spans="1:1" x14ac:dyDescent="0.2">
      <c r="A67" s="27"/>
    </row>
    <row r="68" spans="1:1" x14ac:dyDescent="0.2">
      <c r="A68" s="27"/>
    </row>
    <row r="69" spans="1:1" x14ac:dyDescent="0.2">
      <c r="A69" s="27"/>
    </row>
    <row r="70" spans="1:1" x14ac:dyDescent="0.2">
      <c r="A70" s="27"/>
    </row>
    <row r="71" spans="1:1" x14ac:dyDescent="0.2">
      <c r="A71" s="27"/>
    </row>
    <row r="72" spans="1:1" x14ac:dyDescent="0.2">
      <c r="A72" s="27"/>
    </row>
    <row r="73" spans="1:1" x14ac:dyDescent="0.2">
      <c r="A73" s="27"/>
    </row>
    <row r="74" spans="1:1" x14ac:dyDescent="0.2">
      <c r="A74" s="27"/>
    </row>
    <row r="75" spans="1:1" x14ac:dyDescent="0.2">
      <c r="A75" s="27"/>
    </row>
    <row r="76" spans="1:1" x14ac:dyDescent="0.2">
      <c r="A76" s="27"/>
    </row>
    <row r="77" spans="1:1" x14ac:dyDescent="0.2">
      <c r="A77" s="27"/>
    </row>
    <row r="78" spans="1:1" x14ac:dyDescent="0.2">
      <c r="A78" s="27"/>
    </row>
    <row r="79" spans="1:1" x14ac:dyDescent="0.2">
      <c r="A79" s="27"/>
    </row>
    <row r="80" spans="1:1" x14ac:dyDescent="0.2">
      <c r="A80" s="27"/>
    </row>
    <row r="81" spans="1:1" x14ac:dyDescent="0.2">
      <c r="A81" s="27"/>
    </row>
    <row r="82" spans="1:1" x14ac:dyDescent="0.2">
      <c r="A82" s="27"/>
    </row>
    <row r="83" spans="1:1" x14ac:dyDescent="0.2">
      <c r="A83" s="27"/>
    </row>
    <row r="84" spans="1:1" x14ac:dyDescent="0.2">
      <c r="A84" s="27"/>
    </row>
    <row r="85" spans="1:1" x14ac:dyDescent="0.2">
      <c r="A85" s="27"/>
    </row>
    <row r="86" spans="1:1" x14ac:dyDescent="0.2">
      <c r="A86" s="27"/>
    </row>
    <row r="87" spans="1:1" x14ac:dyDescent="0.2">
      <c r="A87" s="27"/>
    </row>
    <row r="88" spans="1:1" x14ac:dyDescent="0.2">
      <c r="A88" s="27"/>
    </row>
    <row r="89" spans="1:1" x14ac:dyDescent="0.2">
      <c r="A89" s="27"/>
    </row>
    <row r="90" spans="1:1" x14ac:dyDescent="0.2">
      <c r="A90" s="27"/>
    </row>
    <row r="91" spans="1:1" x14ac:dyDescent="0.2">
      <c r="A91" s="27"/>
    </row>
    <row r="92" spans="1:1" x14ac:dyDescent="0.2">
      <c r="A92" s="27"/>
    </row>
    <row r="93" spans="1:1" x14ac:dyDescent="0.2">
      <c r="A93" s="27"/>
    </row>
    <row r="94" spans="1:1" x14ac:dyDescent="0.2">
      <c r="A94" s="27"/>
    </row>
    <row r="95" spans="1:1" x14ac:dyDescent="0.2">
      <c r="A95" s="27"/>
    </row>
    <row r="96" spans="1:1" x14ac:dyDescent="0.2">
      <c r="A96" s="27"/>
    </row>
    <row r="97" spans="1:1" x14ac:dyDescent="0.2">
      <c r="A97" s="27"/>
    </row>
    <row r="98" spans="1:1" x14ac:dyDescent="0.2">
      <c r="A98" s="27"/>
    </row>
    <row r="99" spans="1:1" x14ac:dyDescent="0.2">
      <c r="A99" s="27"/>
    </row>
    <row r="100" spans="1:1" x14ac:dyDescent="0.2">
      <c r="A100" s="27"/>
    </row>
    <row r="101" spans="1:1" x14ac:dyDescent="0.2">
      <c r="A101" s="27"/>
    </row>
    <row r="102" spans="1:1" x14ac:dyDescent="0.2">
      <c r="A102" s="27"/>
    </row>
    <row r="103" spans="1:1" x14ac:dyDescent="0.2">
      <c r="A103" s="27"/>
    </row>
    <row r="104" spans="1:1" x14ac:dyDescent="0.2">
      <c r="A104" s="27"/>
    </row>
    <row r="105" spans="1:1" x14ac:dyDescent="0.2">
      <c r="A105" s="27"/>
    </row>
    <row r="106" spans="1:1" x14ac:dyDescent="0.2">
      <c r="A106" s="27"/>
    </row>
    <row r="107" spans="1:1" x14ac:dyDescent="0.2">
      <c r="A107" s="27"/>
    </row>
    <row r="108" spans="1:1" x14ac:dyDescent="0.2">
      <c r="A108" s="27"/>
    </row>
    <row r="109" spans="1:1" x14ac:dyDescent="0.2">
      <c r="A109" s="27"/>
    </row>
    <row r="110" spans="1:1" x14ac:dyDescent="0.2">
      <c r="A110" s="27"/>
    </row>
    <row r="111" spans="1:1" x14ac:dyDescent="0.2">
      <c r="A111" s="27"/>
    </row>
    <row r="112" spans="1:1" x14ac:dyDescent="0.2">
      <c r="A112" s="27"/>
    </row>
    <row r="113" spans="1:1" x14ac:dyDescent="0.2">
      <c r="A113" s="27"/>
    </row>
    <row r="114" spans="1:1" x14ac:dyDescent="0.2">
      <c r="A114" s="27"/>
    </row>
    <row r="115" spans="1:1" x14ac:dyDescent="0.2">
      <c r="A115" s="27"/>
    </row>
    <row r="116" spans="1:1" x14ac:dyDescent="0.2">
      <c r="A116" s="27"/>
    </row>
    <row r="117" spans="1:1" x14ac:dyDescent="0.2">
      <c r="A117" s="27"/>
    </row>
    <row r="118" spans="1:1" x14ac:dyDescent="0.2">
      <c r="A118" s="27"/>
    </row>
    <row r="119" spans="1:1" x14ac:dyDescent="0.2">
      <c r="A119" s="27"/>
    </row>
    <row r="120" spans="1:1" x14ac:dyDescent="0.2">
      <c r="A120" s="27"/>
    </row>
    <row r="121" spans="1:1" x14ac:dyDescent="0.2">
      <c r="A121" s="27"/>
    </row>
    <row r="122" spans="1:1" x14ac:dyDescent="0.2">
      <c r="A122" s="27"/>
    </row>
    <row r="123" spans="1:1" x14ac:dyDescent="0.2">
      <c r="A123" s="27"/>
    </row>
    <row r="124" spans="1:1" x14ac:dyDescent="0.2">
      <c r="A124" s="27"/>
    </row>
    <row r="125" spans="1:1" x14ac:dyDescent="0.2">
      <c r="A125" s="27"/>
    </row>
    <row r="126" spans="1:1" x14ac:dyDescent="0.2">
      <c r="A126" s="27"/>
    </row>
    <row r="127" spans="1:1" x14ac:dyDescent="0.2">
      <c r="A127" s="27"/>
    </row>
  </sheetData>
  <mergeCells count="1">
    <mergeCell ref="A1:F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27"/>
  <sheetViews>
    <sheetView workbookViewId="0">
      <selection activeCell="H10" sqref="H10"/>
    </sheetView>
  </sheetViews>
  <sheetFormatPr defaultRowHeight="15" x14ac:dyDescent="0.2"/>
  <cols>
    <col min="1" max="1" width="23.5703125" style="62" customWidth="1"/>
    <col min="2" max="2" width="15.7109375" style="62" bestFit="1" customWidth="1"/>
    <col min="3" max="3" width="15" style="62" customWidth="1"/>
    <col min="4" max="4" width="11.7109375" style="62" bestFit="1" customWidth="1"/>
    <col min="5" max="5" width="16.5703125" style="62" customWidth="1"/>
    <col min="6" max="16384" width="9.140625" style="49"/>
  </cols>
  <sheetData>
    <row r="1" spans="1:7" ht="15.75" x14ac:dyDescent="0.2">
      <c r="A1" s="48" t="s">
        <v>30</v>
      </c>
      <c r="B1" s="48"/>
      <c r="C1" s="48"/>
      <c r="D1" s="48"/>
      <c r="E1" s="48"/>
    </row>
    <row r="2" spans="1:7" x14ac:dyDescent="0.2">
      <c r="A2" s="50" t="s">
        <v>14</v>
      </c>
      <c r="B2" s="51">
        <v>50000</v>
      </c>
      <c r="C2" s="50"/>
      <c r="D2" s="50"/>
      <c r="E2" s="50"/>
    </row>
    <row r="3" spans="1:7" x14ac:dyDescent="0.2">
      <c r="A3" s="50" t="s">
        <v>21</v>
      </c>
      <c r="B3" s="52">
        <v>0.05</v>
      </c>
      <c r="C3" s="50"/>
      <c r="D3" s="50"/>
      <c r="E3" s="50"/>
    </row>
    <row r="4" spans="1:7" x14ac:dyDescent="0.2">
      <c r="A4" s="50" t="s">
        <v>13</v>
      </c>
      <c r="B4" s="50">
        <v>10</v>
      </c>
      <c r="C4" s="50"/>
      <c r="D4" s="50"/>
      <c r="E4" s="50"/>
    </row>
    <row r="5" spans="1:7" x14ac:dyDescent="0.2">
      <c r="A5" s="53" t="s">
        <v>27</v>
      </c>
      <c r="B5" s="54">
        <f>PMT(B3,B4,-B2)</f>
        <v>6475.2287482728334</v>
      </c>
      <c r="C5" s="50"/>
      <c r="D5" s="50"/>
      <c r="E5" s="50"/>
    </row>
    <row r="6" spans="1:7" x14ac:dyDescent="0.2">
      <c r="A6" s="50"/>
      <c r="B6" s="50"/>
      <c r="C6" s="50"/>
      <c r="D6" s="50"/>
      <c r="E6" s="50"/>
    </row>
    <row r="7" spans="1:7" s="57" customFormat="1" ht="78.75" x14ac:dyDescent="0.2">
      <c r="A7" s="55" t="s">
        <v>39</v>
      </c>
      <c r="B7" s="55" t="s">
        <v>22</v>
      </c>
      <c r="C7" s="55" t="s">
        <v>28</v>
      </c>
      <c r="D7" s="55" t="s">
        <v>29</v>
      </c>
      <c r="E7" s="55" t="s">
        <v>41</v>
      </c>
      <c r="F7" s="56"/>
      <c r="G7" s="56"/>
    </row>
    <row r="8" spans="1:7" x14ac:dyDescent="0.2">
      <c r="A8" s="58">
        <v>1</v>
      </c>
      <c r="B8" s="59">
        <f>B2</f>
        <v>50000</v>
      </c>
      <c r="C8" s="59"/>
      <c r="D8" s="59"/>
      <c r="E8" s="59"/>
    </row>
    <row r="9" spans="1:7" x14ac:dyDescent="0.2">
      <c r="A9" s="58">
        <v>2</v>
      </c>
      <c r="B9" s="59">
        <f>E8</f>
        <v>0</v>
      </c>
      <c r="C9" s="59"/>
      <c r="D9" s="59"/>
      <c r="E9" s="59"/>
    </row>
    <row r="10" spans="1:7" x14ac:dyDescent="0.2">
      <c r="A10" s="58">
        <v>3</v>
      </c>
      <c r="B10" s="59">
        <f t="shared" ref="B10:B17" si="0">E9</f>
        <v>0</v>
      </c>
      <c r="C10" s="59"/>
      <c r="D10" s="59"/>
      <c r="E10" s="59"/>
    </row>
    <row r="11" spans="1:7" x14ac:dyDescent="0.2">
      <c r="A11" s="58">
        <v>4</v>
      </c>
      <c r="B11" s="59">
        <f t="shared" si="0"/>
        <v>0</v>
      </c>
      <c r="C11" s="59"/>
      <c r="D11" s="59"/>
      <c r="E11" s="59"/>
    </row>
    <row r="12" spans="1:7" x14ac:dyDescent="0.2">
      <c r="A12" s="58">
        <v>5</v>
      </c>
      <c r="B12" s="59">
        <f t="shared" si="0"/>
        <v>0</v>
      </c>
      <c r="C12" s="59"/>
      <c r="D12" s="59"/>
      <c r="E12" s="59"/>
    </row>
    <row r="13" spans="1:7" x14ac:dyDescent="0.2">
      <c r="A13" s="58">
        <v>6</v>
      </c>
      <c r="B13" s="59">
        <f t="shared" si="0"/>
        <v>0</v>
      </c>
      <c r="C13" s="59"/>
      <c r="D13" s="59"/>
      <c r="E13" s="59"/>
    </row>
    <row r="14" spans="1:7" x14ac:dyDescent="0.2">
      <c r="A14" s="58">
        <v>7</v>
      </c>
      <c r="B14" s="59">
        <f t="shared" si="0"/>
        <v>0</v>
      </c>
      <c r="C14" s="59"/>
      <c r="D14" s="59"/>
      <c r="E14" s="59"/>
    </row>
    <row r="15" spans="1:7" x14ac:dyDescent="0.2">
      <c r="A15" s="58">
        <v>8</v>
      </c>
      <c r="B15" s="59">
        <f t="shared" si="0"/>
        <v>0</v>
      </c>
      <c r="C15" s="59"/>
      <c r="D15" s="59"/>
      <c r="E15" s="59"/>
    </row>
    <row r="16" spans="1:7" x14ac:dyDescent="0.2">
      <c r="A16" s="58">
        <v>9</v>
      </c>
      <c r="B16" s="59">
        <f t="shared" si="0"/>
        <v>0</v>
      </c>
      <c r="C16" s="59"/>
      <c r="D16" s="59"/>
      <c r="E16" s="59"/>
    </row>
    <row r="17" spans="1:7" x14ac:dyDescent="0.2">
      <c r="A17" s="58">
        <v>10</v>
      </c>
      <c r="B17" s="59">
        <f t="shared" si="0"/>
        <v>0</v>
      </c>
      <c r="C17" s="59"/>
      <c r="D17" s="59"/>
      <c r="E17" s="59"/>
    </row>
    <row r="18" spans="1:7" x14ac:dyDescent="0.2">
      <c r="A18" s="58"/>
      <c r="B18" s="60"/>
      <c r="C18" s="60"/>
      <c r="D18" s="60"/>
      <c r="E18" s="60"/>
    </row>
    <row r="19" spans="1:7" x14ac:dyDescent="0.2">
      <c r="A19" s="61"/>
    </row>
    <row r="20" spans="1:7" x14ac:dyDescent="0.2">
      <c r="A20" s="61"/>
    </row>
    <row r="21" spans="1:7" x14ac:dyDescent="0.2">
      <c r="A21" s="61"/>
    </row>
    <row r="22" spans="1:7" x14ac:dyDescent="0.2">
      <c r="A22" s="61"/>
    </row>
    <row r="23" spans="1:7" x14ac:dyDescent="0.2">
      <c r="A23" s="61"/>
    </row>
    <row r="24" spans="1:7" x14ac:dyDescent="0.2">
      <c r="A24" s="61"/>
    </row>
    <row r="25" spans="1:7" x14ac:dyDescent="0.2">
      <c r="A25" s="61"/>
    </row>
    <row r="26" spans="1:7" x14ac:dyDescent="0.2">
      <c r="A26" s="61"/>
    </row>
    <row r="27" spans="1:7" x14ac:dyDescent="0.2">
      <c r="A27" s="61"/>
    </row>
    <row r="28" spans="1:7" x14ac:dyDescent="0.2">
      <c r="A28" s="61"/>
    </row>
    <row r="29" spans="1:7" x14ac:dyDescent="0.2">
      <c r="A29" s="61"/>
    </row>
    <row r="30" spans="1:7" x14ac:dyDescent="0.2">
      <c r="A30" s="61"/>
    </row>
    <row r="31" spans="1:7" x14ac:dyDescent="0.2">
      <c r="A31" s="61"/>
    </row>
    <row r="32" spans="1:7" s="62" customFormat="1" x14ac:dyDescent="0.2">
      <c r="A32" s="61"/>
      <c r="F32" s="49"/>
      <c r="G32" s="49"/>
    </row>
    <row r="33" spans="1:7" s="62" customFormat="1" x14ac:dyDescent="0.2">
      <c r="A33" s="61"/>
      <c r="F33" s="49"/>
      <c r="G33" s="49"/>
    </row>
    <row r="34" spans="1:7" s="62" customFormat="1" x14ac:dyDescent="0.2">
      <c r="A34" s="61"/>
      <c r="F34" s="49"/>
      <c r="G34" s="49"/>
    </row>
    <row r="35" spans="1:7" s="62" customFormat="1" x14ac:dyDescent="0.2">
      <c r="A35" s="61"/>
      <c r="F35" s="49"/>
      <c r="G35" s="49"/>
    </row>
    <row r="36" spans="1:7" s="62" customFormat="1" x14ac:dyDescent="0.2">
      <c r="A36" s="61"/>
      <c r="F36" s="49"/>
      <c r="G36" s="49"/>
    </row>
    <row r="37" spans="1:7" s="62" customFormat="1" x14ac:dyDescent="0.2">
      <c r="A37" s="61"/>
      <c r="F37" s="49"/>
      <c r="G37" s="49"/>
    </row>
    <row r="38" spans="1:7" s="62" customFormat="1" x14ac:dyDescent="0.2">
      <c r="A38" s="61"/>
      <c r="F38" s="49"/>
      <c r="G38" s="49"/>
    </row>
    <row r="39" spans="1:7" s="62" customFormat="1" x14ac:dyDescent="0.2">
      <c r="A39" s="61"/>
      <c r="F39" s="49"/>
      <c r="G39" s="49"/>
    </row>
    <row r="40" spans="1:7" s="62" customFormat="1" x14ac:dyDescent="0.2">
      <c r="A40" s="61"/>
      <c r="F40" s="49"/>
      <c r="G40" s="49"/>
    </row>
    <row r="41" spans="1:7" s="62" customFormat="1" x14ac:dyDescent="0.2">
      <c r="A41" s="61"/>
      <c r="F41" s="49"/>
      <c r="G41" s="49"/>
    </row>
    <row r="42" spans="1:7" s="62" customFormat="1" x14ac:dyDescent="0.2">
      <c r="A42" s="61"/>
      <c r="F42" s="49"/>
      <c r="G42" s="49"/>
    </row>
    <row r="43" spans="1:7" s="62" customFormat="1" x14ac:dyDescent="0.2">
      <c r="A43" s="61"/>
      <c r="F43" s="49"/>
      <c r="G43" s="49"/>
    </row>
    <row r="44" spans="1:7" s="62" customFormat="1" x14ac:dyDescent="0.2">
      <c r="A44" s="61"/>
      <c r="F44" s="49"/>
      <c r="G44" s="49"/>
    </row>
    <row r="45" spans="1:7" s="62" customFormat="1" x14ac:dyDescent="0.2">
      <c r="A45" s="61"/>
      <c r="F45" s="49"/>
      <c r="G45" s="49"/>
    </row>
    <row r="46" spans="1:7" s="62" customFormat="1" x14ac:dyDescent="0.2">
      <c r="A46" s="61"/>
      <c r="F46" s="49"/>
      <c r="G46" s="49"/>
    </row>
    <row r="47" spans="1:7" s="62" customFormat="1" x14ac:dyDescent="0.2">
      <c r="A47" s="61"/>
      <c r="F47" s="49"/>
      <c r="G47" s="49"/>
    </row>
    <row r="48" spans="1:7" s="62" customFormat="1" x14ac:dyDescent="0.2">
      <c r="A48" s="61"/>
      <c r="F48" s="49"/>
      <c r="G48" s="49"/>
    </row>
    <row r="49" spans="1:7" s="62" customFormat="1" x14ac:dyDescent="0.2">
      <c r="A49" s="61"/>
      <c r="F49" s="49"/>
      <c r="G49" s="49"/>
    </row>
    <row r="50" spans="1:7" s="62" customFormat="1" x14ac:dyDescent="0.2">
      <c r="A50" s="61"/>
      <c r="F50" s="49"/>
      <c r="G50" s="49"/>
    </row>
    <row r="51" spans="1:7" s="62" customFormat="1" x14ac:dyDescent="0.2">
      <c r="A51" s="61"/>
      <c r="F51" s="49"/>
      <c r="G51" s="49"/>
    </row>
    <row r="52" spans="1:7" s="62" customFormat="1" x14ac:dyDescent="0.2">
      <c r="A52" s="61"/>
      <c r="F52" s="49"/>
      <c r="G52" s="49"/>
    </row>
    <row r="53" spans="1:7" s="62" customFormat="1" x14ac:dyDescent="0.2">
      <c r="A53" s="61"/>
      <c r="F53" s="49"/>
      <c r="G53" s="49"/>
    </row>
    <row r="54" spans="1:7" s="62" customFormat="1" x14ac:dyDescent="0.2">
      <c r="A54" s="61"/>
      <c r="F54" s="49"/>
      <c r="G54" s="49"/>
    </row>
    <row r="55" spans="1:7" s="62" customFormat="1" x14ac:dyDescent="0.2">
      <c r="A55" s="61"/>
      <c r="F55" s="49"/>
      <c r="G55" s="49"/>
    </row>
    <row r="56" spans="1:7" s="62" customFormat="1" x14ac:dyDescent="0.2">
      <c r="A56" s="61"/>
      <c r="F56" s="49"/>
      <c r="G56" s="49"/>
    </row>
    <row r="57" spans="1:7" s="62" customFormat="1" x14ac:dyDescent="0.2">
      <c r="A57" s="61"/>
      <c r="F57" s="49"/>
      <c r="G57" s="49"/>
    </row>
    <row r="58" spans="1:7" s="62" customFormat="1" x14ac:dyDescent="0.2">
      <c r="A58" s="61"/>
      <c r="F58" s="49"/>
      <c r="G58" s="49"/>
    </row>
    <row r="59" spans="1:7" s="62" customFormat="1" x14ac:dyDescent="0.2">
      <c r="A59" s="61"/>
      <c r="F59" s="49"/>
      <c r="G59" s="49"/>
    </row>
    <row r="60" spans="1:7" s="62" customFormat="1" x14ac:dyDescent="0.2">
      <c r="A60" s="61"/>
      <c r="F60" s="49"/>
      <c r="G60" s="49"/>
    </row>
    <row r="61" spans="1:7" s="62" customFormat="1" x14ac:dyDescent="0.2">
      <c r="A61" s="61"/>
      <c r="F61" s="49"/>
      <c r="G61" s="49"/>
    </row>
    <row r="62" spans="1:7" s="62" customFormat="1" x14ac:dyDescent="0.2">
      <c r="A62" s="61"/>
      <c r="F62" s="49"/>
      <c r="G62" s="49"/>
    </row>
    <row r="63" spans="1:7" s="62" customFormat="1" x14ac:dyDescent="0.2">
      <c r="A63" s="61"/>
      <c r="F63" s="49"/>
      <c r="G63" s="49"/>
    </row>
    <row r="64" spans="1:7" s="62" customFormat="1" x14ac:dyDescent="0.2">
      <c r="A64" s="61"/>
      <c r="F64" s="49"/>
      <c r="G64" s="49"/>
    </row>
    <row r="65" spans="1:7" s="62" customFormat="1" x14ac:dyDescent="0.2">
      <c r="A65" s="61"/>
      <c r="F65" s="49"/>
      <c r="G65" s="49"/>
    </row>
    <row r="66" spans="1:7" s="62" customFormat="1" x14ac:dyDescent="0.2">
      <c r="A66" s="61"/>
      <c r="F66" s="49"/>
      <c r="G66" s="49"/>
    </row>
    <row r="67" spans="1:7" s="62" customFormat="1" x14ac:dyDescent="0.2">
      <c r="A67" s="61"/>
      <c r="F67" s="49"/>
      <c r="G67" s="49"/>
    </row>
    <row r="68" spans="1:7" s="62" customFormat="1" x14ac:dyDescent="0.2">
      <c r="A68" s="61"/>
      <c r="F68" s="49"/>
      <c r="G68" s="49"/>
    </row>
    <row r="69" spans="1:7" s="62" customFormat="1" x14ac:dyDescent="0.2">
      <c r="A69" s="61"/>
      <c r="F69" s="49"/>
      <c r="G69" s="49"/>
    </row>
    <row r="70" spans="1:7" s="62" customFormat="1" x14ac:dyDescent="0.2">
      <c r="A70" s="61"/>
      <c r="F70" s="49"/>
      <c r="G70" s="49"/>
    </row>
    <row r="71" spans="1:7" s="62" customFormat="1" x14ac:dyDescent="0.2">
      <c r="A71" s="61"/>
      <c r="F71" s="49"/>
      <c r="G71" s="49"/>
    </row>
    <row r="72" spans="1:7" s="62" customFormat="1" x14ac:dyDescent="0.2">
      <c r="A72" s="61"/>
      <c r="F72" s="49"/>
      <c r="G72" s="49"/>
    </row>
    <row r="73" spans="1:7" s="62" customFormat="1" x14ac:dyDescent="0.2">
      <c r="A73" s="61"/>
      <c r="F73" s="49"/>
      <c r="G73" s="49"/>
    </row>
    <row r="74" spans="1:7" s="62" customFormat="1" x14ac:dyDescent="0.2">
      <c r="A74" s="61"/>
      <c r="F74" s="49"/>
      <c r="G74" s="49"/>
    </row>
    <row r="75" spans="1:7" s="62" customFormat="1" x14ac:dyDescent="0.2">
      <c r="A75" s="61"/>
      <c r="F75" s="49"/>
      <c r="G75" s="49"/>
    </row>
    <row r="76" spans="1:7" s="62" customFormat="1" x14ac:dyDescent="0.2">
      <c r="A76" s="61"/>
      <c r="F76" s="49"/>
      <c r="G76" s="49"/>
    </row>
    <row r="77" spans="1:7" s="62" customFormat="1" x14ac:dyDescent="0.2">
      <c r="A77" s="61"/>
      <c r="F77" s="49"/>
      <c r="G77" s="49"/>
    </row>
    <row r="78" spans="1:7" s="62" customFormat="1" x14ac:dyDescent="0.2">
      <c r="A78" s="61"/>
      <c r="F78" s="49"/>
      <c r="G78" s="49"/>
    </row>
    <row r="79" spans="1:7" s="62" customFormat="1" x14ac:dyDescent="0.2">
      <c r="A79" s="61"/>
      <c r="F79" s="49"/>
      <c r="G79" s="49"/>
    </row>
    <row r="80" spans="1:7" s="62" customFormat="1" x14ac:dyDescent="0.2">
      <c r="A80" s="61"/>
      <c r="F80" s="49"/>
      <c r="G80" s="49"/>
    </row>
    <row r="81" spans="1:7" s="62" customFormat="1" x14ac:dyDescent="0.2">
      <c r="A81" s="61"/>
      <c r="F81" s="49"/>
      <c r="G81" s="49"/>
    </row>
    <row r="82" spans="1:7" s="62" customFormat="1" x14ac:dyDescent="0.2">
      <c r="A82" s="61"/>
      <c r="F82" s="49"/>
      <c r="G82" s="49"/>
    </row>
    <row r="83" spans="1:7" s="62" customFormat="1" x14ac:dyDescent="0.2">
      <c r="A83" s="61"/>
      <c r="F83" s="49"/>
      <c r="G83" s="49"/>
    </row>
    <row r="84" spans="1:7" s="62" customFormat="1" x14ac:dyDescent="0.2">
      <c r="A84" s="61"/>
      <c r="F84" s="49"/>
      <c r="G84" s="49"/>
    </row>
    <row r="85" spans="1:7" s="62" customFormat="1" x14ac:dyDescent="0.2">
      <c r="A85" s="61"/>
      <c r="F85" s="49"/>
      <c r="G85" s="49"/>
    </row>
    <row r="86" spans="1:7" s="62" customFormat="1" x14ac:dyDescent="0.2">
      <c r="A86" s="61"/>
      <c r="F86" s="49"/>
      <c r="G86" s="49"/>
    </row>
    <row r="87" spans="1:7" s="62" customFormat="1" x14ac:dyDescent="0.2">
      <c r="A87" s="61"/>
      <c r="F87" s="49"/>
      <c r="G87" s="49"/>
    </row>
    <row r="88" spans="1:7" s="62" customFormat="1" x14ac:dyDescent="0.2">
      <c r="A88" s="61"/>
      <c r="F88" s="49"/>
      <c r="G88" s="49"/>
    </row>
    <row r="89" spans="1:7" s="62" customFormat="1" x14ac:dyDescent="0.2">
      <c r="A89" s="61"/>
      <c r="F89" s="49"/>
      <c r="G89" s="49"/>
    </row>
    <row r="90" spans="1:7" s="62" customFormat="1" x14ac:dyDescent="0.2">
      <c r="A90" s="61"/>
      <c r="F90" s="49"/>
      <c r="G90" s="49"/>
    </row>
    <row r="91" spans="1:7" s="62" customFormat="1" x14ac:dyDescent="0.2">
      <c r="A91" s="61"/>
      <c r="F91" s="49"/>
      <c r="G91" s="49"/>
    </row>
    <row r="92" spans="1:7" s="62" customFormat="1" x14ac:dyDescent="0.2">
      <c r="A92" s="61"/>
      <c r="F92" s="49"/>
      <c r="G92" s="49"/>
    </row>
    <row r="93" spans="1:7" s="62" customFormat="1" x14ac:dyDescent="0.2">
      <c r="A93" s="61"/>
      <c r="F93" s="49"/>
      <c r="G93" s="49"/>
    </row>
    <row r="94" spans="1:7" s="62" customFormat="1" x14ac:dyDescent="0.2">
      <c r="A94" s="61"/>
      <c r="F94" s="49"/>
      <c r="G94" s="49"/>
    </row>
    <row r="95" spans="1:7" s="62" customFormat="1" x14ac:dyDescent="0.2">
      <c r="A95" s="61"/>
      <c r="F95" s="49"/>
      <c r="G95" s="49"/>
    </row>
    <row r="96" spans="1:7" s="62" customFormat="1" x14ac:dyDescent="0.2">
      <c r="A96" s="61"/>
      <c r="F96" s="49"/>
      <c r="G96" s="49"/>
    </row>
    <row r="97" spans="1:7" s="62" customFormat="1" x14ac:dyDescent="0.2">
      <c r="A97" s="61"/>
      <c r="F97" s="49"/>
      <c r="G97" s="49"/>
    </row>
    <row r="98" spans="1:7" s="62" customFormat="1" x14ac:dyDescent="0.2">
      <c r="A98" s="61"/>
      <c r="F98" s="49"/>
      <c r="G98" s="49"/>
    </row>
    <row r="99" spans="1:7" s="62" customFormat="1" x14ac:dyDescent="0.2">
      <c r="A99" s="61"/>
      <c r="F99" s="49"/>
      <c r="G99" s="49"/>
    </row>
    <row r="100" spans="1:7" s="62" customFormat="1" x14ac:dyDescent="0.2">
      <c r="A100" s="61"/>
      <c r="F100" s="49"/>
      <c r="G100" s="49"/>
    </row>
    <row r="101" spans="1:7" s="62" customFormat="1" x14ac:dyDescent="0.2">
      <c r="A101" s="61"/>
      <c r="F101" s="49"/>
      <c r="G101" s="49"/>
    </row>
    <row r="102" spans="1:7" s="62" customFormat="1" x14ac:dyDescent="0.2">
      <c r="A102" s="61"/>
      <c r="F102" s="49"/>
      <c r="G102" s="49"/>
    </row>
    <row r="103" spans="1:7" s="62" customFormat="1" x14ac:dyDescent="0.2">
      <c r="A103" s="61"/>
      <c r="F103" s="49"/>
      <c r="G103" s="49"/>
    </row>
    <row r="104" spans="1:7" s="62" customFormat="1" x14ac:dyDescent="0.2">
      <c r="A104" s="61"/>
      <c r="F104" s="49"/>
      <c r="G104" s="49"/>
    </row>
    <row r="105" spans="1:7" s="62" customFormat="1" x14ac:dyDescent="0.2">
      <c r="A105" s="61"/>
      <c r="F105" s="49"/>
      <c r="G105" s="49"/>
    </row>
    <row r="106" spans="1:7" s="62" customFormat="1" x14ac:dyDescent="0.2">
      <c r="A106" s="61"/>
      <c r="F106" s="49"/>
      <c r="G106" s="49"/>
    </row>
    <row r="107" spans="1:7" s="62" customFormat="1" x14ac:dyDescent="0.2">
      <c r="A107" s="61"/>
      <c r="F107" s="49"/>
      <c r="G107" s="49"/>
    </row>
    <row r="108" spans="1:7" s="62" customFormat="1" x14ac:dyDescent="0.2">
      <c r="A108" s="61"/>
      <c r="F108" s="49"/>
      <c r="G108" s="49"/>
    </row>
    <row r="109" spans="1:7" s="62" customFormat="1" x14ac:dyDescent="0.2">
      <c r="A109" s="61"/>
      <c r="F109" s="49"/>
      <c r="G109" s="49"/>
    </row>
    <row r="110" spans="1:7" s="62" customFormat="1" x14ac:dyDescent="0.2">
      <c r="A110" s="61"/>
      <c r="F110" s="49"/>
      <c r="G110" s="49"/>
    </row>
    <row r="111" spans="1:7" s="62" customFormat="1" x14ac:dyDescent="0.2">
      <c r="A111" s="61"/>
      <c r="F111" s="49"/>
      <c r="G111" s="49"/>
    </row>
    <row r="112" spans="1:7" s="62" customFormat="1" x14ac:dyDescent="0.2">
      <c r="A112" s="61"/>
      <c r="F112" s="49"/>
      <c r="G112" s="49"/>
    </row>
    <row r="113" spans="1:7" s="62" customFormat="1" x14ac:dyDescent="0.2">
      <c r="A113" s="61"/>
      <c r="F113" s="49"/>
      <c r="G113" s="49"/>
    </row>
    <row r="114" spans="1:7" s="62" customFormat="1" x14ac:dyDescent="0.2">
      <c r="A114" s="61"/>
      <c r="F114" s="49"/>
      <c r="G114" s="49"/>
    </row>
    <row r="115" spans="1:7" s="62" customFormat="1" x14ac:dyDescent="0.2">
      <c r="A115" s="61"/>
      <c r="F115" s="49"/>
      <c r="G115" s="49"/>
    </row>
    <row r="116" spans="1:7" s="62" customFormat="1" x14ac:dyDescent="0.2">
      <c r="A116" s="61"/>
      <c r="F116" s="49"/>
      <c r="G116" s="49"/>
    </row>
    <row r="117" spans="1:7" s="62" customFormat="1" x14ac:dyDescent="0.2">
      <c r="A117" s="61"/>
      <c r="F117" s="49"/>
      <c r="G117" s="49"/>
    </row>
    <row r="118" spans="1:7" s="62" customFormat="1" x14ac:dyDescent="0.2">
      <c r="A118" s="61"/>
      <c r="F118" s="49"/>
      <c r="G118" s="49"/>
    </row>
    <row r="119" spans="1:7" s="62" customFormat="1" x14ac:dyDescent="0.2">
      <c r="A119" s="61"/>
      <c r="F119" s="49"/>
      <c r="G119" s="49"/>
    </row>
    <row r="120" spans="1:7" s="62" customFormat="1" x14ac:dyDescent="0.2">
      <c r="A120" s="61"/>
      <c r="F120" s="49"/>
      <c r="G120" s="49"/>
    </row>
    <row r="121" spans="1:7" s="62" customFormat="1" x14ac:dyDescent="0.2">
      <c r="A121" s="61"/>
      <c r="F121" s="49"/>
      <c r="G121" s="49"/>
    </row>
    <row r="122" spans="1:7" s="62" customFormat="1" x14ac:dyDescent="0.2">
      <c r="A122" s="61"/>
      <c r="F122" s="49"/>
      <c r="G122" s="49"/>
    </row>
    <row r="123" spans="1:7" s="62" customFormat="1" x14ac:dyDescent="0.2">
      <c r="A123" s="61"/>
      <c r="F123" s="49"/>
      <c r="G123" s="49"/>
    </row>
    <row r="124" spans="1:7" s="62" customFormat="1" x14ac:dyDescent="0.2">
      <c r="A124" s="61"/>
      <c r="F124" s="49"/>
      <c r="G124" s="49"/>
    </row>
    <row r="125" spans="1:7" s="62" customFormat="1" x14ac:dyDescent="0.2">
      <c r="A125" s="61"/>
      <c r="F125" s="49"/>
      <c r="G125" s="49"/>
    </row>
    <row r="126" spans="1:7" s="62" customFormat="1" x14ac:dyDescent="0.2">
      <c r="A126" s="61"/>
      <c r="F126" s="49"/>
      <c r="G126" s="49"/>
    </row>
    <row r="127" spans="1:7" s="62" customFormat="1" x14ac:dyDescent="0.2">
      <c r="A127" s="61"/>
      <c r="F127" s="49"/>
      <c r="G127" s="49"/>
    </row>
  </sheetData>
  <mergeCells count="1">
    <mergeCell ref="A1:E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116"/>
  <sheetViews>
    <sheetView workbookViewId="0">
      <selection activeCell="B16" sqref="B16"/>
    </sheetView>
  </sheetViews>
  <sheetFormatPr defaultRowHeight="15" x14ac:dyDescent="0.2"/>
  <cols>
    <col min="1" max="1" width="27.140625" style="22" customWidth="1"/>
    <col min="2" max="2" width="15.7109375" style="22" bestFit="1" customWidth="1"/>
    <col min="3" max="3" width="11.5703125" style="22" customWidth="1"/>
    <col min="4" max="4" width="11.28515625" style="22" bestFit="1" customWidth="1"/>
    <col min="5" max="5" width="15" style="22" customWidth="1"/>
    <col min="6" max="6" width="16.5703125" style="22" customWidth="1"/>
    <col min="7" max="7" width="12" style="22" bestFit="1" customWidth="1"/>
  </cols>
  <sheetData>
    <row r="1" spans="1:18" ht="15.75" x14ac:dyDescent="0.25">
      <c r="A1" s="21" t="s">
        <v>31</v>
      </c>
      <c r="B1" s="21"/>
      <c r="C1" s="21"/>
      <c r="D1" s="21"/>
      <c r="E1" s="21"/>
      <c r="F1" s="21"/>
      <c r="G1" s="21"/>
    </row>
    <row r="2" spans="1:18" ht="15.75" x14ac:dyDescent="0.25">
      <c r="A2" s="22" t="s">
        <v>14</v>
      </c>
      <c r="B2" s="23">
        <v>50000</v>
      </c>
      <c r="C2" s="23"/>
      <c r="F2" s="38"/>
      <c r="G2" s="38"/>
      <c r="H2" s="39"/>
      <c r="I2" s="39"/>
      <c r="J2" s="39"/>
      <c r="K2" s="39"/>
      <c r="L2" s="39"/>
      <c r="M2" s="39"/>
      <c r="N2" s="39"/>
      <c r="O2" s="40"/>
      <c r="P2" s="40"/>
      <c r="Q2" s="40"/>
      <c r="R2" s="40"/>
    </row>
    <row r="3" spans="1:18" x14ac:dyDescent="0.2">
      <c r="A3" s="22" t="s">
        <v>21</v>
      </c>
      <c r="B3" s="24">
        <v>0.05</v>
      </c>
      <c r="C3" s="24"/>
    </row>
    <row r="4" spans="1:18" x14ac:dyDescent="0.2">
      <c r="A4" s="22" t="s">
        <v>13</v>
      </c>
      <c r="B4" s="22">
        <v>10</v>
      </c>
    </row>
    <row r="6" spans="1:18" s="2" customFormat="1" ht="78.75" x14ac:dyDescent="0.25">
      <c r="A6" s="25" t="s">
        <v>39</v>
      </c>
      <c r="B6" s="26" t="s">
        <v>22</v>
      </c>
      <c r="C6" s="25" t="s">
        <v>32</v>
      </c>
      <c r="D6" s="25" t="s">
        <v>33</v>
      </c>
      <c r="E6" s="25" t="s">
        <v>42</v>
      </c>
      <c r="F6" s="26" t="s">
        <v>41</v>
      </c>
      <c r="G6" s="35"/>
      <c r="H6" s="3"/>
      <c r="I6" s="3"/>
    </row>
    <row r="7" spans="1:18" ht="38.25" customHeight="1" x14ac:dyDescent="0.25">
      <c r="A7" s="27">
        <v>1</v>
      </c>
      <c r="B7" s="28">
        <f>B2</f>
        <v>50000</v>
      </c>
      <c r="C7" s="36">
        <f>B3*B2</f>
        <v>2500</v>
      </c>
      <c r="D7" s="28"/>
      <c r="E7" s="28"/>
      <c r="F7" s="28"/>
      <c r="H7" s="43" t="s">
        <v>45</v>
      </c>
      <c r="I7" s="44"/>
      <c r="J7" s="44"/>
      <c r="K7" s="44"/>
      <c r="L7" s="44"/>
      <c r="M7" s="44"/>
      <c r="N7" s="44"/>
      <c r="O7" s="44"/>
      <c r="P7" s="44"/>
    </row>
    <row r="8" spans="1:18" x14ac:dyDescent="0.2">
      <c r="A8" s="27">
        <v>2</v>
      </c>
      <c r="B8" s="28">
        <f>F7</f>
        <v>0</v>
      </c>
      <c r="C8" s="28">
        <f>C7</f>
        <v>2500</v>
      </c>
      <c r="D8" s="28"/>
      <c r="E8" s="28"/>
      <c r="F8" s="28"/>
    </row>
    <row r="9" spans="1:18" x14ac:dyDescent="0.2">
      <c r="A9" s="27">
        <v>3</v>
      </c>
      <c r="B9" s="28">
        <f t="shared" ref="B9:B16" si="0">F8</f>
        <v>0</v>
      </c>
      <c r="C9" s="28">
        <f t="shared" ref="C9:C15" si="1">C8</f>
        <v>2500</v>
      </c>
      <c r="D9" s="28"/>
      <c r="E9" s="28"/>
      <c r="F9" s="28"/>
    </row>
    <row r="10" spans="1:18" x14ac:dyDescent="0.2">
      <c r="A10" s="27">
        <v>4</v>
      </c>
      <c r="B10" s="28">
        <f t="shared" si="0"/>
        <v>0</v>
      </c>
      <c r="C10" s="28">
        <f t="shared" si="1"/>
        <v>2500</v>
      </c>
      <c r="D10" s="28"/>
      <c r="E10" s="28"/>
      <c r="F10" s="28"/>
    </row>
    <row r="11" spans="1:18" x14ac:dyDescent="0.2">
      <c r="A11" s="27">
        <v>5</v>
      </c>
      <c r="B11" s="28">
        <f t="shared" si="0"/>
        <v>0</v>
      </c>
      <c r="C11" s="28">
        <f t="shared" si="1"/>
        <v>2500</v>
      </c>
      <c r="D11" s="28"/>
      <c r="E11" s="28"/>
      <c r="F11" s="28"/>
    </row>
    <row r="12" spans="1:18" x14ac:dyDescent="0.2">
      <c r="A12" s="27">
        <v>6</v>
      </c>
      <c r="B12" s="28">
        <f t="shared" si="0"/>
        <v>0</v>
      </c>
      <c r="C12" s="28">
        <f t="shared" si="1"/>
        <v>2500</v>
      </c>
      <c r="D12" s="28"/>
      <c r="E12" s="28"/>
      <c r="F12" s="28"/>
    </row>
    <row r="13" spans="1:18" x14ac:dyDescent="0.2">
      <c r="A13" s="27">
        <v>7</v>
      </c>
      <c r="B13" s="28">
        <f t="shared" si="0"/>
        <v>0</v>
      </c>
      <c r="C13" s="28">
        <f t="shared" si="1"/>
        <v>2500</v>
      </c>
      <c r="D13" s="28"/>
      <c r="E13" s="28"/>
      <c r="F13" s="28"/>
    </row>
    <row r="14" spans="1:18" x14ac:dyDescent="0.2">
      <c r="A14" s="27">
        <v>8</v>
      </c>
      <c r="B14" s="28">
        <f t="shared" si="0"/>
        <v>0</v>
      </c>
      <c r="C14" s="28">
        <f t="shared" si="1"/>
        <v>2500</v>
      </c>
      <c r="D14" s="28"/>
      <c r="E14" s="28"/>
      <c r="F14" s="28"/>
    </row>
    <row r="15" spans="1:18" x14ac:dyDescent="0.2">
      <c r="A15" s="27">
        <v>9</v>
      </c>
      <c r="B15" s="28">
        <f t="shared" si="0"/>
        <v>0</v>
      </c>
      <c r="C15" s="28">
        <f t="shared" si="1"/>
        <v>2500</v>
      </c>
      <c r="D15" s="28"/>
      <c r="E15" s="28"/>
      <c r="F15" s="28"/>
    </row>
    <row r="16" spans="1:18" x14ac:dyDescent="0.2">
      <c r="A16" s="27">
        <v>10</v>
      </c>
      <c r="B16" s="28">
        <f t="shared" si="0"/>
        <v>0</v>
      </c>
      <c r="C16" s="47">
        <f>SUM(D16:E16)</f>
        <v>0</v>
      </c>
      <c r="D16" s="28"/>
      <c r="E16" s="28"/>
      <c r="F16" s="28"/>
    </row>
    <row r="17" spans="1:16" x14ac:dyDescent="0.2">
      <c r="A17" s="27"/>
      <c r="B17" s="29"/>
      <c r="C17" s="29"/>
      <c r="D17" s="29"/>
      <c r="E17" s="29"/>
      <c r="F17" s="29"/>
    </row>
    <row r="18" spans="1:16" x14ac:dyDescent="0.2">
      <c r="A18" s="27"/>
    </row>
    <row r="19" spans="1:16" ht="18" x14ac:dyDescent="0.25">
      <c r="A19" s="27"/>
      <c r="E19" s="41" t="s">
        <v>46</v>
      </c>
      <c r="F19" s="41"/>
      <c r="G19" s="41"/>
      <c r="H19" s="41"/>
      <c r="I19" s="41"/>
      <c r="J19" s="41"/>
      <c r="K19" s="41"/>
      <c r="L19" s="41"/>
      <c r="M19" s="42"/>
      <c r="N19" s="37"/>
      <c r="O19" s="37"/>
      <c r="P19" s="37"/>
    </row>
    <row r="20" spans="1:16" ht="18" x14ac:dyDescent="0.25">
      <c r="A20" s="27"/>
      <c r="E20" s="10"/>
      <c r="F20" s="10"/>
      <c r="G20" s="10"/>
      <c r="H20" s="10"/>
      <c r="I20" s="10"/>
      <c r="J20" s="10"/>
      <c r="K20" s="10"/>
      <c r="L20" s="10"/>
      <c r="M20" s="10"/>
    </row>
    <row r="21" spans="1:16" x14ac:dyDescent="0.2">
      <c r="A21" s="27"/>
    </row>
    <row r="22" spans="1:16" x14ac:dyDescent="0.2">
      <c r="A22" s="27"/>
    </row>
    <row r="23" spans="1:16" x14ac:dyDescent="0.2">
      <c r="A23" s="27"/>
    </row>
    <row r="24" spans="1:16" x14ac:dyDescent="0.2">
      <c r="A24" s="27"/>
    </row>
    <row r="25" spans="1:16" x14ac:dyDescent="0.2">
      <c r="A25" s="27"/>
    </row>
    <row r="26" spans="1:16" x14ac:dyDescent="0.2">
      <c r="A26" s="27"/>
    </row>
    <row r="27" spans="1:16" x14ac:dyDescent="0.2">
      <c r="A27" s="27"/>
    </row>
    <row r="28" spans="1:16" x14ac:dyDescent="0.2">
      <c r="A28" s="27"/>
    </row>
    <row r="29" spans="1:16" x14ac:dyDescent="0.2">
      <c r="A29" s="27"/>
    </row>
    <row r="30" spans="1:16" x14ac:dyDescent="0.2">
      <c r="A30" s="27"/>
    </row>
    <row r="31" spans="1:16" x14ac:dyDescent="0.2">
      <c r="A31" s="27"/>
    </row>
    <row r="32" spans="1:16" x14ac:dyDescent="0.2">
      <c r="A32" s="27"/>
    </row>
    <row r="33" spans="1:1" x14ac:dyDescent="0.2">
      <c r="A33" s="27"/>
    </row>
    <row r="34" spans="1:1" x14ac:dyDescent="0.2">
      <c r="A34" s="27"/>
    </row>
    <row r="35" spans="1:1" x14ac:dyDescent="0.2">
      <c r="A35" s="27"/>
    </row>
    <row r="36" spans="1:1" x14ac:dyDescent="0.2">
      <c r="A36" s="27"/>
    </row>
    <row r="37" spans="1:1" x14ac:dyDescent="0.2">
      <c r="A37" s="27"/>
    </row>
    <row r="38" spans="1:1" x14ac:dyDescent="0.2">
      <c r="A38" s="27"/>
    </row>
    <row r="39" spans="1:1" x14ac:dyDescent="0.2">
      <c r="A39" s="27"/>
    </row>
    <row r="40" spans="1:1" x14ac:dyDescent="0.2">
      <c r="A40" s="27"/>
    </row>
    <row r="41" spans="1:1" x14ac:dyDescent="0.2">
      <c r="A41" s="27"/>
    </row>
    <row r="42" spans="1:1" x14ac:dyDescent="0.2">
      <c r="A42" s="27"/>
    </row>
    <row r="43" spans="1:1" x14ac:dyDescent="0.2">
      <c r="A43" s="27"/>
    </row>
    <row r="44" spans="1:1" x14ac:dyDescent="0.2">
      <c r="A44" s="27"/>
    </row>
    <row r="45" spans="1:1" x14ac:dyDescent="0.2">
      <c r="A45" s="27"/>
    </row>
    <row r="46" spans="1:1" x14ac:dyDescent="0.2">
      <c r="A46" s="27"/>
    </row>
    <row r="47" spans="1:1" x14ac:dyDescent="0.2">
      <c r="A47" s="27"/>
    </row>
    <row r="48" spans="1:1" x14ac:dyDescent="0.2">
      <c r="A48" s="27"/>
    </row>
    <row r="49" spans="1:1" x14ac:dyDescent="0.2">
      <c r="A49" s="27"/>
    </row>
    <row r="50" spans="1:1" x14ac:dyDescent="0.2">
      <c r="A50" s="27"/>
    </row>
    <row r="51" spans="1:1" x14ac:dyDescent="0.2">
      <c r="A51" s="27"/>
    </row>
    <row r="52" spans="1:1" x14ac:dyDescent="0.2">
      <c r="A52" s="27"/>
    </row>
    <row r="53" spans="1:1" x14ac:dyDescent="0.2">
      <c r="A53" s="27"/>
    </row>
    <row r="54" spans="1:1" x14ac:dyDescent="0.2">
      <c r="A54" s="27"/>
    </row>
    <row r="55" spans="1:1" x14ac:dyDescent="0.2">
      <c r="A55" s="27"/>
    </row>
    <row r="56" spans="1:1" x14ac:dyDescent="0.2">
      <c r="A56" s="27"/>
    </row>
    <row r="57" spans="1:1" x14ac:dyDescent="0.2">
      <c r="A57" s="27"/>
    </row>
    <row r="58" spans="1:1" x14ac:dyDescent="0.2">
      <c r="A58" s="27"/>
    </row>
    <row r="59" spans="1:1" x14ac:dyDescent="0.2">
      <c r="A59" s="27"/>
    </row>
    <row r="60" spans="1:1" x14ac:dyDescent="0.2">
      <c r="A60" s="27"/>
    </row>
    <row r="61" spans="1:1" x14ac:dyDescent="0.2">
      <c r="A61" s="27"/>
    </row>
    <row r="62" spans="1:1" x14ac:dyDescent="0.2">
      <c r="A62" s="27"/>
    </row>
    <row r="63" spans="1:1" x14ac:dyDescent="0.2">
      <c r="A63" s="27"/>
    </row>
    <row r="64" spans="1:1" x14ac:dyDescent="0.2">
      <c r="A64" s="27"/>
    </row>
    <row r="65" spans="1:1" x14ac:dyDescent="0.2">
      <c r="A65" s="27"/>
    </row>
    <row r="66" spans="1:1" x14ac:dyDescent="0.2">
      <c r="A66" s="27"/>
    </row>
    <row r="67" spans="1:1" x14ac:dyDescent="0.2">
      <c r="A67" s="27"/>
    </row>
    <row r="68" spans="1:1" x14ac:dyDescent="0.2">
      <c r="A68" s="27"/>
    </row>
    <row r="69" spans="1:1" x14ac:dyDescent="0.2">
      <c r="A69" s="27"/>
    </row>
    <row r="70" spans="1:1" x14ac:dyDescent="0.2">
      <c r="A70" s="27"/>
    </row>
    <row r="71" spans="1:1" x14ac:dyDescent="0.2">
      <c r="A71" s="27"/>
    </row>
    <row r="72" spans="1:1" x14ac:dyDescent="0.2">
      <c r="A72" s="27"/>
    </row>
    <row r="73" spans="1:1" x14ac:dyDescent="0.2">
      <c r="A73" s="27"/>
    </row>
    <row r="74" spans="1:1" x14ac:dyDescent="0.2">
      <c r="A74" s="27"/>
    </row>
    <row r="75" spans="1:1" x14ac:dyDescent="0.2">
      <c r="A75" s="27"/>
    </row>
    <row r="76" spans="1:1" x14ac:dyDescent="0.2">
      <c r="A76" s="27"/>
    </row>
    <row r="77" spans="1:1" x14ac:dyDescent="0.2">
      <c r="A77" s="27"/>
    </row>
    <row r="78" spans="1:1" x14ac:dyDescent="0.2">
      <c r="A78" s="27"/>
    </row>
    <row r="79" spans="1:1" x14ac:dyDescent="0.2">
      <c r="A79" s="27"/>
    </row>
    <row r="80" spans="1:1" x14ac:dyDescent="0.2">
      <c r="A80" s="27"/>
    </row>
    <row r="81" spans="1:1" x14ac:dyDescent="0.2">
      <c r="A81" s="27"/>
    </row>
    <row r="82" spans="1:1" x14ac:dyDescent="0.2">
      <c r="A82" s="27"/>
    </row>
    <row r="83" spans="1:1" x14ac:dyDescent="0.2">
      <c r="A83" s="27"/>
    </row>
    <row r="84" spans="1:1" x14ac:dyDescent="0.2">
      <c r="A84" s="27"/>
    </row>
    <row r="85" spans="1:1" x14ac:dyDescent="0.2">
      <c r="A85" s="27"/>
    </row>
    <row r="86" spans="1:1" x14ac:dyDescent="0.2">
      <c r="A86" s="27"/>
    </row>
    <row r="87" spans="1:1" x14ac:dyDescent="0.2">
      <c r="A87" s="27"/>
    </row>
    <row r="88" spans="1:1" x14ac:dyDescent="0.2">
      <c r="A88" s="27"/>
    </row>
    <row r="89" spans="1:1" x14ac:dyDescent="0.2">
      <c r="A89" s="27"/>
    </row>
    <row r="90" spans="1:1" x14ac:dyDescent="0.2">
      <c r="A90" s="27"/>
    </row>
    <row r="91" spans="1:1" x14ac:dyDescent="0.2">
      <c r="A91" s="27"/>
    </row>
    <row r="92" spans="1:1" x14ac:dyDescent="0.2">
      <c r="A92" s="27"/>
    </row>
    <row r="93" spans="1:1" x14ac:dyDescent="0.2">
      <c r="A93" s="27"/>
    </row>
    <row r="94" spans="1:1" x14ac:dyDescent="0.2">
      <c r="A94" s="27"/>
    </row>
    <row r="95" spans="1:1" x14ac:dyDescent="0.2">
      <c r="A95" s="27"/>
    </row>
    <row r="96" spans="1:1" x14ac:dyDescent="0.2">
      <c r="A96" s="27"/>
    </row>
    <row r="97" spans="1:1" x14ac:dyDescent="0.2">
      <c r="A97" s="27"/>
    </row>
    <row r="98" spans="1:1" x14ac:dyDescent="0.2">
      <c r="A98" s="27"/>
    </row>
    <row r="99" spans="1:1" x14ac:dyDescent="0.2">
      <c r="A99" s="27"/>
    </row>
    <row r="100" spans="1:1" x14ac:dyDescent="0.2">
      <c r="A100" s="27"/>
    </row>
    <row r="101" spans="1:1" x14ac:dyDescent="0.2">
      <c r="A101" s="27"/>
    </row>
    <row r="102" spans="1:1" x14ac:dyDescent="0.2">
      <c r="A102" s="27"/>
    </row>
    <row r="103" spans="1:1" x14ac:dyDescent="0.2">
      <c r="A103" s="27"/>
    </row>
    <row r="104" spans="1:1" x14ac:dyDescent="0.2">
      <c r="A104" s="27"/>
    </row>
    <row r="105" spans="1:1" x14ac:dyDescent="0.2">
      <c r="A105" s="27"/>
    </row>
    <row r="106" spans="1:1" x14ac:dyDescent="0.2">
      <c r="A106" s="27"/>
    </row>
    <row r="107" spans="1:1" x14ac:dyDescent="0.2">
      <c r="A107" s="27"/>
    </row>
    <row r="108" spans="1:1" x14ac:dyDescent="0.2">
      <c r="A108" s="27"/>
    </row>
    <row r="109" spans="1:1" x14ac:dyDescent="0.2">
      <c r="A109" s="27"/>
    </row>
    <row r="110" spans="1:1" x14ac:dyDescent="0.2">
      <c r="A110" s="27"/>
    </row>
    <row r="111" spans="1:1" x14ac:dyDescent="0.2">
      <c r="A111" s="27"/>
    </row>
    <row r="112" spans="1:1" x14ac:dyDescent="0.2">
      <c r="A112" s="27"/>
    </row>
    <row r="113" spans="1:1" x14ac:dyDescent="0.2">
      <c r="A113" s="27"/>
    </row>
    <row r="114" spans="1:1" x14ac:dyDescent="0.2">
      <c r="A114" s="27"/>
    </row>
    <row r="115" spans="1:1" x14ac:dyDescent="0.2">
      <c r="A115" s="27"/>
    </row>
    <row r="116" spans="1:1" x14ac:dyDescent="0.2">
      <c r="A116" s="27"/>
    </row>
  </sheetData>
  <mergeCells count="2">
    <mergeCell ref="A1:G1"/>
    <mergeCell ref="H7:P7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16"/>
  <sheetViews>
    <sheetView tabSelected="1" workbookViewId="0">
      <selection activeCell="A18" sqref="A18"/>
    </sheetView>
  </sheetViews>
  <sheetFormatPr defaultRowHeight="15" x14ac:dyDescent="0.2"/>
  <cols>
    <col min="1" max="1" width="28.5703125" style="22" customWidth="1"/>
    <col min="2" max="2" width="15.7109375" style="22" bestFit="1" customWidth="1"/>
    <col min="3" max="3" width="11.5703125" style="22" customWidth="1"/>
    <col min="4" max="4" width="11.28515625" style="22" bestFit="1" customWidth="1"/>
    <col min="5" max="5" width="15" style="22" customWidth="1"/>
    <col min="6" max="6" width="16.5703125" style="22" customWidth="1"/>
    <col min="7" max="7" width="12" style="22" bestFit="1" customWidth="1"/>
    <col min="8" max="8" width="9.140625" style="22"/>
  </cols>
  <sheetData>
    <row r="1" spans="1:9" ht="39.75" customHeight="1" x14ac:dyDescent="0.25">
      <c r="A1" s="45" t="s">
        <v>34</v>
      </c>
      <c r="B1" s="21"/>
      <c r="C1" s="21"/>
      <c r="D1" s="21"/>
      <c r="E1" s="21"/>
      <c r="F1" s="21"/>
      <c r="G1" s="21"/>
    </row>
    <row r="2" spans="1:9" x14ac:dyDescent="0.2">
      <c r="A2" s="22" t="s">
        <v>14</v>
      </c>
      <c r="B2" s="23">
        <v>50000</v>
      </c>
      <c r="C2" s="23"/>
    </row>
    <row r="3" spans="1:9" x14ac:dyDescent="0.2">
      <c r="A3" s="22" t="s">
        <v>21</v>
      </c>
      <c r="B3" s="24">
        <v>0.05</v>
      </c>
      <c r="C3" s="24"/>
    </row>
    <row r="4" spans="1:9" x14ac:dyDescent="0.2">
      <c r="A4" s="22" t="s">
        <v>13</v>
      </c>
      <c r="B4" s="22">
        <v>10</v>
      </c>
    </row>
    <row r="6" spans="1:9" s="2" customFormat="1" ht="78.75" x14ac:dyDescent="0.25">
      <c r="A6" s="25" t="s">
        <v>39</v>
      </c>
      <c r="B6" s="26" t="s">
        <v>22</v>
      </c>
      <c r="C6" s="25" t="s">
        <v>32</v>
      </c>
      <c r="D6" s="25" t="s">
        <v>40</v>
      </c>
      <c r="E6" s="25" t="s">
        <v>42</v>
      </c>
      <c r="F6" s="26" t="s">
        <v>41</v>
      </c>
      <c r="G6" s="35"/>
      <c r="H6" s="35"/>
      <c r="I6" s="3"/>
    </row>
    <row r="7" spans="1:9" x14ac:dyDescent="0.2">
      <c r="A7" s="27">
        <v>1</v>
      </c>
      <c r="B7" s="28">
        <f>B2</f>
        <v>50000</v>
      </c>
      <c r="C7" s="28">
        <v>1000</v>
      </c>
      <c r="D7" s="28">
        <f>$B$3*B7</f>
        <v>2500</v>
      </c>
      <c r="E7" s="36">
        <f t="shared" ref="E7:E15" si="0">C7-D7</f>
        <v>-1500</v>
      </c>
      <c r="F7" s="28">
        <f t="shared" ref="F7:F16" si="1">B7-E7</f>
        <v>51500</v>
      </c>
      <c r="G7" s="22" t="str">
        <f ca="1">_xlfn.FORMULATEXT(F7)</f>
        <v>=B7-E7</v>
      </c>
    </row>
    <row r="8" spans="1:9" x14ac:dyDescent="0.2">
      <c r="A8" s="27">
        <v>2</v>
      </c>
      <c r="B8" s="28">
        <f>F7</f>
        <v>51500</v>
      </c>
      <c r="C8" s="28">
        <f>C7</f>
        <v>1000</v>
      </c>
      <c r="D8" s="28">
        <f t="shared" ref="D8:D16" si="2">$B$3*B8</f>
        <v>2575</v>
      </c>
      <c r="E8" s="36">
        <f t="shared" si="0"/>
        <v>-1575</v>
      </c>
      <c r="F8" s="28">
        <f t="shared" si="1"/>
        <v>53075</v>
      </c>
    </row>
    <row r="9" spans="1:9" x14ac:dyDescent="0.2">
      <c r="A9" s="27">
        <v>3</v>
      </c>
      <c r="B9" s="28">
        <f t="shared" ref="B9:B16" si="3">F8</f>
        <v>53075</v>
      </c>
      <c r="C9" s="28">
        <f t="shared" ref="C9:C15" si="4">C8</f>
        <v>1000</v>
      </c>
      <c r="D9" s="28">
        <f t="shared" si="2"/>
        <v>2653.75</v>
      </c>
      <c r="E9" s="36">
        <f t="shared" si="0"/>
        <v>-1653.75</v>
      </c>
      <c r="F9" s="28">
        <f t="shared" si="1"/>
        <v>54728.75</v>
      </c>
    </row>
    <row r="10" spans="1:9" x14ac:dyDescent="0.2">
      <c r="A10" s="27">
        <v>4</v>
      </c>
      <c r="B10" s="28">
        <f t="shared" si="3"/>
        <v>54728.75</v>
      </c>
      <c r="C10" s="28">
        <f t="shared" si="4"/>
        <v>1000</v>
      </c>
      <c r="D10" s="28">
        <f t="shared" si="2"/>
        <v>2736.4375</v>
      </c>
      <c r="E10" s="36">
        <f t="shared" si="0"/>
        <v>-1736.4375</v>
      </c>
      <c r="F10" s="28">
        <f t="shared" si="1"/>
        <v>56465.1875</v>
      </c>
    </row>
    <row r="11" spans="1:9" x14ac:dyDescent="0.2">
      <c r="A11" s="27">
        <v>5</v>
      </c>
      <c r="B11" s="28">
        <f t="shared" si="3"/>
        <v>56465.1875</v>
      </c>
      <c r="C11" s="28">
        <f t="shared" si="4"/>
        <v>1000</v>
      </c>
      <c r="D11" s="28">
        <f t="shared" si="2"/>
        <v>2823.2593750000001</v>
      </c>
      <c r="E11" s="36">
        <f t="shared" si="0"/>
        <v>-1823.2593750000001</v>
      </c>
      <c r="F11" s="28">
        <f t="shared" si="1"/>
        <v>58288.446875000001</v>
      </c>
    </row>
    <row r="12" spans="1:9" x14ac:dyDescent="0.2">
      <c r="A12" s="27">
        <v>6</v>
      </c>
      <c r="B12" s="28">
        <f t="shared" si="3"/>
        <v>58288.446875000001</v>
      </c>
      <c r="C12" s="28">
        <f t="shared" si="4"/>
        <v>1000</v>
      </c>
      <c r="D12" s="28">
        <f t="shared" si="2"/>
        <v>2914.4223437500004</v>
      </c>
      <c r="E12" s="36">
        <f t="shared" si="0"/>
        <v>-1914.4223437500004</v>
      </c>
      <c r="F12" s="28">
        <f t="shared" si="1"/>
        <v>60202.869218749998</v>
      </c>
    </row>
    <row r="13" spans="1:9" x14ac:dyDescent="0.2">
      <c r="A13" s="27">
        <v>7</v>
      </c>
      <c r="B13" s="28">
        <f t="shared" si="3"/>
        <v>60202.869218749998</v>
      </c>
      <c r="C13" s="28">
        <f t="shared" si="4"/>
        <v>1000</v>
      </c>
      <c r="D13" s="28">
        <f t="shared" si="2"/>
        <v>3010.1434609375001</v>
      </c>
      <c r="E13" s="36">
        <f t="shared" si="0"/>
        <v>-2010.1434609375001</v>
      </c>
      <c r="F13" s="28">
        <f t="shared" si="1"/>
        <v>62213.012679687497</v>
      </c>
    </row>
    <row r="14" spans="1:9" x14ac:dyDescent="0.2">
      <c r="A14" s="27">
        <v>8</v>
      </c>
      <c r="B14" s="28">
        <f t="shared" si="3"/>
        <v>62213.012679687497</v>
      </c>
      <c r="C14" s="28">
        <f t="shared" si="4"/>
        <v>1000</v>
      </c>
      <c r="D14" s="28">
        <f t="shared" si="2"/>
        <v>3110.650633984375</v>
      </c>
      <c r="E14" s="36">
        <f t="shared" si="0"/>
        <v>-2110.650633984375</v>
      </c>
      <c r="F14" s="28">
        <f t="shared" si="1"/>
        <v>64323.663313671874</v>
      </c>
    </row>
    <row r="15" spans="1:9" x14ac:dyDescent="0.2">
      <c r="A15" s="27">
        <v>9</v>
      </c>
      <c r="B15" s="28">
        <f t="shared" si="3"/>
        <v>64323.663313671874</v>
      </c>
      <c r="C15" s="28">
        <f t="shared" si="4"/>
        <v>1000</v>
      </c>
      <c r="D15" s="28">
        <f t="shared" si="2"/>
        <v>3216.1831656835939</v>
      </c>
      <c r="E15" s="36">
        <f t="shared" si="0"/>
        <v>-2216.1831656835939</v>
      </c>
      <c r="F15" s="28">
        <f t="shared" si="1"/>
        <v>66539.846479355474</v>
      </c>
    </row>
    <row r="16" spans="1:9" ht="15.75" x14ac:dyDescent="0.25">
      <c r="A16" s="27">
        <v>10</v>
      </c>
      <c r="B16" s="28">
        <f t="shared" si="3"/>
        <v>66539.846479355474</v>
      </c>
      <c r="C16" s="46">
        <f>SUM(D16:E16)</f>
        <v>69866.838803323248</v>
      </c>
      <c r="D16" s="28">
        <f t="shared" si="2"/>
        <v>3326.9923239677737</v>
      </c>
      <c r="E16" s="28">
        <f>B16</f>
        <v>66539.846479355474</v>
      </c>
      <c r="F16" s="28">
        <f t="shared" si="1"/>
        <v>0</v>
      </c>
    </row>
    <row r="17" spans="1:6" x14ac:dyDescent="0.2">
      <c r="A17" s="27"/>
      <c r="B17" s="29"/>
      <c r="C17" s="29"/>
      <c r="D17" s="29"/>
      <c r="E17" s="29"/>
      <c r="F17" s="29"/>
    </row>
    <row r="18" spans="1:6" x14ac:dyDescent="0.2">
      <c r="A18" s="27"/>
    </row>
    <row r="19" spans="1:6" x14ac:dyDescent="0.2">
      <c r="A19" s="27"/>
    </row>
    <row r="20" spans="1:6" x14ac:dyDescent="0.2">
      <c r="A20" s="27"/>
    </row>
    <row r="21" spans="1:6" x14ac:dyDescent="0.2">
      <c r="A21" s="27"/>
    </row>
    <row r="22" spans="1:6" x14ac:dyDescent="0.2">
      <c r="A22" s="27"/>
    </row>
    <row r="23" spans="1:6" x14ac:dyDescent="0.2">
      <c r="A23" s="27"/>
    </row>
    <row r="24" spans="1:6" x14ac:dyDescent="0.2">
      <c r="A24" s="27"/>
    </row>
    <row r="25" spans="1:6" x14ac:dyDescent="0.2">
      <c r="A25" s="27"/>
    </row>
    <row r="26" spans="1:6" x14ac:dyDescent="0.2">
      <c r="A26" s="27"/>
    </row>
    <row r="27" spans="1:6" x14ac:dyDescent="0.2">
      <c r="A27" s="27"/>
    </row>
    <row r="28" spans="1:6" x14ac:dyDescent="0.2">
      <c r="A28" s="27"/>
    </row>
    <row r="29" spans="1:6" x14ac:dyDescent="0.2">
      <c r="A29" s="27"/>
    </row>
    <row r="30" spans="1:6" x14ac:dyDescent="0.2">
      <c r="A30" s="27"/>
    </row>
    <row r="31" spans="1:6" x14ac:dyDescent="0.2">
      <c r="A31" s="27"/>
    </row>
    <row r="32" spans="1:6" x14ac:dyDescent="0.2">
      <c r="A32" s="27"/>
    </row>
    <row r="33" spans="1:1" x14ac:dyDescent="0.2">
      <c r="A33" s="27"/>
    </row>
    <row r="34" spans="1:1" x14ac:dyDescent="0.2">
      <c r="A34" s="27"/>
    </row>
    <row r="35" spans="1:1" x14ac:dyDescent="0.2">
      <c r="A35" s="27"/>
    </row>
    <row r="36" spans="1:1" x14ac:dyDescent="0.2">
      <c r="A36" s="27"/>
    </row>
    <row r="37" spans="1:1" x14ac:dyDescent="0.2">
      <c r="A37" s="27"/>
    </row>
    <row r="38" spans="1:1" x14ac:dyDescent="0.2">
      <c r="A38" s="27"/>
    </row>
    <row r="39" spans="1:1" x14ac:dyDescent="0.2">
      <c r="A39" s="27"/>
    </row>
    <row r="40" spans="1:1" x14ac:dyDescent="0.2">
      <c r="A40" s="27"/>
    </row>
    <row r="41" spans="1:1" x14ac:dyDescent="0.2">
      <c r="A41" s="27"/>
    </row>
    <row r="42" spans="1:1" x14ac:dyDescent="0.2">
      <c r="A42" s="27"/>
    </row>
    <row r="43" spans="1:1" x14ac:dyDescent="0.2">
      <c r="A43" s="27"/>
    </row>
    <row r="44" spans="1:1" x14ac:dyDescent="0.2">
      <c r="A44" s="27"/>
    </row>
    <row r="45" spans="1:1" x14ac:dyDescent="0.2">
      <c r="A45" s="27"/>
    </row>
    <row r="46" spans="1:1" x14ac:dyDescent="0.2">
      <c r="A46" s="27"/>
    </row>
    <row r="47" spans="1:1" x14ac:dyDescent="0.2">
      <c r="A47" s="27"/>
    </row>
    <row r="48" spans="1:1" x14ac:dyDescent="0.2">
      <c r="A48" s="27"/>
    </row>
    <row r="49" spans="1:1" x14ac:dyDescent="0.2">
      <c r="A49" s="27"/>
    </row>
    <row r="50" spans="1:1" x14ac:dyDescent="0.2">
      <c r="A50" s="27"/>
    </row>
    <row r="51" spans="1:1" x14ac:dyDescent="0.2">
      <c r="A51" s="27"/>
    </row>
    <row r="52" spans="1:1" x14ac:dyDescent="0.2">
      <c r="A52" s="27"/>
    </row>
    <row r="53" spans="1:1" x14ac:dyDescent="0.2">
      <c r="A53" s="27"/>
    </row>
    <row r="54" spans="1:1" x14ac:dyDescent="0.2">
      <c r="A54" s="27"/>
    </row>
    <row r="55" spans="1:1" x14ac:dyDescent="0.2">
      <c r="A55" s="27"/>
    </row>
    <row r="56" spans="1:1" x14ac:dyDescent="0.2">
      <c r="A56" s="27"/>
    </row>
    <row r="57" spans="1:1" x14ac:dyDescent="0.2">
      <c r="A57" s="27"/>
    </row>
    <row r="58" spans="1:1" x14ac:dyDescent="0.2">
      <c r="A58" s="27"/>
    </row>
    <row r="59" spans="1:1" x14ac:dyDescent="0.2">
      <c r="A59" s="27"/>
    </row>
    <row r="60" spans="1:1" x14ac:dyDescent="0.2">
      <c r="A60" s="27"/>
    </row>
    <row r="61" spans="1:1" x14ac:dyDescent="0.2">
      <c r="A61" s="27"/>
    </row>
    <row r="62" spans="1:1" x14ac:dyDescent="0.2">
      <c r="A62" s="27"/>
    </row>
    <row r="63" spans="1:1" x14ac:dyDescent="0.2">
      <c r="A63" s="27"/>
    </row>
    <row r="64" spans="1:1" x14ac:dyDescent="0.2">
      <c r="A64" s="27"/>
    </row>
    <row r="65" spans="1:1" x14ac:dyDescent="0.2">
      <c r="A65" s="27"/>
    </row>
    <row r="66" spans="1:1" x14ac:dyDescent="0.2">
      <c r="A66" s="27"/>
    </row>
    <row r="67" spans="1:1" x14ac:dyDescent="0.2">
      <c r="A67" s="27"/>
    </row>
    <row r="68" spans="1:1" x14ac:dyDescent="0.2">
      <c r="A68" s="27"/>
    </row>
    <row r="69" spans="1:1" x14ac:dyDescent="0.2">
      <c r="A69" s="27"/>
    </row>
    <row r="70" spans="1:1" x14ac:dyDescent="0.2">
      <c r="A70" s="27"/>
    </row>
    <row r="71" spans="1:1" x14ac:dyDescent="0.2">
      <c r="A71" s="27"/>
    </row>
    <row r="72" spans="1:1" x14ac:dyDescent="0.2">
      <c r="A72" s="27"/>
    </row>
    <row r="73" spans="1:1" x14ac:dyDescent="0.2">
      <c r="A73" s="27"/>
    </row>
    <row r="74" spans="1:1" x14ac:dyDescent="0.2">
      <c r="A74" s="27"/>
    </row>
    <row r="75" spans="1:1" x14ac:dyDescent="0.2">
      <c r="A75" s="27"/>
    </row>
    <row r="76" spans="1:1" x14ac:dyDescent="0.2">
      <c r="A76" s="27"/>
    </row>
    <row r="77" spans="1:1" x14ac:dyDescent="0.2">
      <c r="A77" s="27"/>
    </row>
    <row r="78" spans="1:1" x14ac:dyDescent="0.2">
      <c r="A78" s="27"/>
    </row>
    <row r="79" spans="1:1" x14ac:dyDescent="0.2">
      <c r="A79" s="27"/>
    </row>
    <row r="80" spans="1:1" x14ac:dyDescent="0.2">
      <c r="A80" s="27"/>
    </row>
    <row r="81" spans="1:1" x14ac:dyDescent="0.2">
      <c r="A81" s="27"/>
    </row>
    <row r="82" spans="1:1" x14ac:dyDescent="0.2">
      <c r="A82" s="27"/>
    </row>
    <row r="83" spans="1:1" x14ac:dyDescent="0.2">
      <c r="A83" s="27"/>
    </row>
    <row r="84" spans="1:1" x14ac:dyDescent="0.2">
      <c r="A84" s="27"/>
    </row>
    <row r="85" spans="1:1" x14ac:dyDescent="0.2">
      <c r="A85" s="27"/>
    </row>
    <row r="86" spans="1:1" x14ac:dyDescent="0.2">
      <c r="A86" s="27"/>
    </row>
    <row r="87" spans="1:1" x14ac:dyDescent="0.2">
      <c r="A87" s="27"/>
    </row>
    <row r="88" spans="1:1" x14ac:dyDescent="0.2">
      <c r="A88" s="27"/>
    </row>
    <row r="89" spans="1:1" x14ac:dyDescent="0.2">
      <c r="A89" s="27"/>
    </row>
    <row r="90" spans="1:1" x14ac:dyDescent="0.2">
      <c r="A90" s="27"/>
    </row>
    <row r="91" spans="1:1" x14ac:dyDescent="0.2">
      <c r="A91" s="27"/>
    </row>
    <row r="92" spans="1:1" x14ac:dyDescent="0.2">
      <c r="A92" s="27"/>
    </row>
    <row r="93" spans="1:1" x14ac:dyDescent="0.2">
      <c r="A93" s="27"/>
    </row>
    <row r="94" spans="1:1" x14ac:dyDescent="0.2">
      <c r="A94" s="27"/>
    </row>
    <row r="95" spans="1:1" x14ac:dyDescent="0.2">
      <c r="A95" s="27"/>
    </row>
    <row r="96" spans="1:1" x14ac:dyDescent="0.2">
      <c r="A96" s="27"/>
    </row>
    <row r="97" spans="1:1" x14ac:dyDescent="0.2">
      <c r="A97" s="27"/>
    </row>
    <row r="98" spans="1:1" x14ac:dyDescent="0.2">
      <c r="A98" s="27"/>
    </row>
    <row r="99" spans="1:1" x14ac:dyDescent="0.2">
      <c r="A99" s="27"/>
    </row>
    <row r="100" spans="1:1" x14ac:dyDescent="0.2">
      <c r="A100" s="27"/>
    </row>
    <row r="101" spans="1:1" x14ac:dyDescent="0.2">
      <c r="A101" s="27"/>
    </row>
    <row r="102" spans="1:1" x14ac:dyDescent="0.2">
      <c r="A102" s="27"/>
    </row>
    <row r="103" spans="1:1" x14ac:dyDescent="0.2">
      <c r="A103" s="27"/>
    </row>
    <row r="104" spans="1:1" x14ac:dyDescent="0.2">
      <c r="A104" s="27"/>
    </row>
    <row r="105" spans="1:1" x14ac:dyDescent="0.2">
      <c r="A105" s="27"/>
    </row>
    <row r="106" spans="1:1" x14ac:dyDescent="0.2">
      <c r="A106" s="27"/>
    </row>
    <row r="107" spans="1:1" x14ac:dyDescent="0.2">
      <c r="A107" s="27"/>
    </row>
    <row r="108" spans="1:1" x14ac:dyDescent="0.2">
      <c r="A108" s="27"/>
    </row>
    <row r="109" spans="1:1" x14ac:dyDescent="0.2">
      <c r="A109" s="27"/>
    </row>
    <row r="110" spans="1:1" x14ac:dyDescent="0.2">
      <c r="A110" s="27"/>
    </row>
    <row r="111" spans="1:1" x14ac:dyDescent="0.2">
      <c r="A111" s="27"/>
    </row>
    <row r="112" spans="1:1" x14ac:dyDescent="0.2">
      <c r="A112" s="27"/>
    </row>
    <row r="113" spans="1:1" x14ac:dyDescent="0.2">
      <c r="A113" s="27"/>
    </row>
    <row r="114" spans="1:1" x14ac:dyDescent="0.2">
      <c r="A114" s="27"/>
    </row>
    <row r="115" spans="1:1" x14ac:dyDescent="0.2">
      <c r="A115" s="27"/>
    </row>
    <row r="116" spans="1:1" x14ac:dyDescent="0.2">
      <c r="A116" s="27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Pages 109-110</vt:lpstr>
      <vt:lpstr>Pages 111</vt:lpstr>
      <vt:lpstr>Page 113</vt:lpstr>
      <vt:lpstr>Page 114</vt:lpstr>
      <vt:lpstr>Page 117</vt:lpstr>
      <vt:lpstr>Page 119</vt:lpstr>
      <vt:lpstr>Page 120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Family</cp:lastModifiedBy>
  <dcterms:created xsi:type="dcterms:W3CDTF">2006-01-08T17:57:28Z</dcterms:created>
  <dcterms:modified xsi:type="dcterms:W3CDTF">2019-05-17T16:58:18Z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Chapter04 - Loans and Amortization Tables (2).xlsm</vt:lpwstr>
  </property>
</Properties>
</file>